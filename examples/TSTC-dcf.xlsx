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HISTORICALS" sheetId="3" state="visible" r:id="rId3"/>
    <sheet xmlns:r="http://schemas.openxmlformats.org/officeDocument/2006/relationships" name="SEGMENTS" sheetId="4" state="visible" r:id="rId4"/>
    <sheet xmlns:r="http://schemas.openxmlformats.org/officeDocument/2006/relationships" name="BETA_REGRESSION" sheetId="5" state="visible" r:id="rId5"/>
    <sheet xmlns:r="http://schemas.openxmlformats.org/officeDocument/2006/relationships" name="WACC" sheetId="6" state="visible" r:id="rId6"/>
    <sheet xmlns:r="http://schemas.openxmlformats.org/officeDocument/2006/relationships" name="PROJECTION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INTRINSIC_GROWTH" sheetId="9" state="visible" r:id="rId9"/>
    <sheet xmlns:r="http://schemas.openxmlformats.org/officeDocument/2006/relationships" name="RELATIVE_PRICING" sheetId="10" state="visible" r:id="rId10"/>
    <sheet xmlns:r="http://schemas.openxmlformats.org/officeDocument/2006/relationships" name="SENSITIVITY" sheetId="11" state="visible" r:id="rId11"/>
    <sheet xmlns:r="http://schemas.openxmlformats.org/officeDocument/2006/relationships" name="SCENARIOS" sheetId="12" state="visible" r:id="rId12"/>
    <sheet xmlns:r="http://schemas.openxmlformats.org/officeDocument/2006/relationships" name="FOOTBALL_FIELD" sheetId="13" state="visible" r:id="rId13"/>
    <sheet xmlns:r="http://schemas.openxmlformats.org/officeDocument/2006/relationships" name="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x"/>
    <numFmt numFmtId="166" formatCode="#,##0.0"/>
    <numFmt numFmtId="167" formatCode="0.0000"/>
    <numFmt numFmtId="168" formatCode="0.00000"/>
    <numFmt numFmtId="169" formatCode="0.000"/>
  </numFmts>
  <fonts count="10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color rgb="000000CC"/>
      <sz val="11"/>
    </font>
    <font>
      <name val="Calibri"/>
      <color rgb="00000000"/>
      <sz val="11"/>
    </font>
    <font>
      <name val="Calibri"/>
      <i val="1"/>
      <color rgb="00B45F06"/>
      <sz val="11"/>
    </font>
    <font>
      <b val="1"/>
    </font>
    <font>
      <name val="Calibri"/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8CDD6"/>
      </left>
      <right style="thin">
        <color rgb="00C8CDD6"/>
      </right>
      <top style="thin">
        <color rgb="00C8CDD6"/>
      </top>
      <bottom style="thin">
        <color rgb="00C8CDD6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0" borderId="1" pivotButton="0" quotePrefix="0" xfId="0"/>
    <xf numFmtId="164" fontId="5" fillId="0" borderId="1" pivotButton="0" quotePrefix="0" xfId="0"/>
    <xf numFmtId="0" fontId="3" fillId="0" borderId="0" applyAlignment="1" pivotButton="0" quotePrefix="0" xfId="0">
      <alignment vertical="top" wrapText="1"/>
    </xf>
    <xf numFmtId="164" fontId="6" fillId="0" borderId="1" pivotButton="0" quotePrefix="0" xfId="0"/>
    <xf numFmtId="2" fontId="6" fillId="0" borderId="1" pivotButton="0" quotePrefix="0" xfId="0"/>
    <xf numFmtId="164" fontId="6" fillId="3" borderId="1" pivotButton="0" quotePrefix="0" xfId="0"/>
    <xf numFmtId="165" fontId="7" fillId="4" borderId="1" pivotButton="0" quotePrefix="0" xfId="0"/>
    <xf numFmtId="166" fontId="5" fillId="0" borderId="1" pivotButton="0" quotePrefix="0" xfId="0"/>
    <xf numFmtId="4" fontId="5" fillId="0" borderId="1" pivotButton="0" quotePrefix="0" xfId="0"/>
    <xf numFmtId="2" fontId="5" fillId="0" borderId="1" pivotButton="0" quotePrefix="0" xfId="0"/>
    <xf numFmtId="164" fontId="7" fillId="4" borderId="1" pivotButton="0" quotePrefix="0" xfId="0"/>
    <xf numFmtId="0" fontId="0" fillId="0" borderId="1" pivotButton="0" quotePrefix="0" xfId="0"/>
    <xf numFmtId="165" fontId="5" fillId="0" borderId="1" pivotButton="0" quotePrefix="0" xfId="0"/>
    <xf numFmtId="166" fontId="6" fillId="0" borderId="1" pivotButton="0" quotePrefix="0" xfId="0"/>
    <xf numFmtId="164" fontId="6" fillId="5" borderId="1" pivotButton="0" quotePrefix="0" xfId="0"/>
    <xf numFmtId="1" fontId="6" fillId="5" borderId="1" pivotButton="0" quotePrefix="0" xfId="0"/>
    <xf numFmtId="0" fontId="4" fillId="5" borderId="0" applyAlignment="1" pivotButton="0" quotePrefix="0" xfId="0">
      <alignment horizontal="center" vertical="center"/>
    </xf>
    <xf numFmtId="166" fontId="6" fillId="5" borderId="1" pivotButton="0" quotePrefix="0" xfId="0"/>
    <xf numFmtId="0" fontId="5" fillId="0" borderId="1" pivotButton="0" quotePrefix="0" xfId="0"/>
    <xf numFmtId="1" fontId="6" fillId="0" borderId="1" pivotButton="0" quotePrefix="0" xfId="0"/>
    <xf numFmtId="10" fontId="6" fillId="0" borderId="1" pivotButton="0" quotePrefix="0" xfId="0"/>
    <xf numFmtId="167" fontId="6" fillId="3" borderId="1" pivotButton="0" quotePrefix="0" xfId="0"/>
    <xf numFmtId="168" fontId="6" fillId="0" borderId="1" pivotButton="0" quotePrefix="0" xfId="0"/>
    <xf numFmtId="167" fontId="6" fillId="0" borderId="1" pivotButton="0" quotePrefix="0" xfId="0"/>
    <xf numFmtId="169" fontId="5" fillId="0" borderId="1" pivotButton="0" quotePrefix="0" xfId="0"/>
    <xf numFmtId="169" fontId="6" fillId="0" borderId="1" pivotButton="0" quotePrefix="0" xfId="0"/>
    <xf numFmtId="2" fontId="6" fillId="5" borderId="1" pivotButton="0" quotePrefix="0" xfId="0"/>
    <xf numFmtId="169" fontId="6" fillId="5" borderId="1" pivotButton="0" quotePrefix="0" xfId="0"/>
    <xf numFmtId="1" fontId="5" fillId="0" borderId="1" pivotButton="0" quotePrefix="0" xfId="0"/>
    <xf numFmtId="169" fontId="6" fillId="3" borderId="1" pivotButton="0" quotePrefix="0" xfId="0"/>
    <xf numFmtId="10" fontId="6" fillId="3" borderId="1" pivotButton="0" quotePrefix="0" xfId="0"/>
    <xf numFmtId="166" fontId="6" fillId="3" borderId="1" pivotButton="0" quotePrefix="0" xfId="0"/>
    <xf numFmtId="4" fontId="6" fillId="3" borderId="1" pivotButton="0" quotePrefix="0" xfId="0"/>
    <xf numFmtId="4" fontId="6" fillId="0" borderId="1" pivotButton="0" quotePrefix="0" xfId="0"/>
    <xf numFmtId="165" fontId="6" fillId="0" borderId="1" pivotButton="0" quotePrefix="0" xfId="0"/>
    <xf numFmtId="0" fontId="6" fillId="5" borderId="1" pivotButton="0" quotePrefix="0" xfId="0"/>
    <xf numFmtId="165" fontId="6" fillId="5" borderId="1" pivotButton="0" quotePrefix="0" xfId="0"/>
    <xf numFmtId="0" fontId="1" fillId="2" borderId="0" applyAlignment="1" pivotButton="0" quotePrefix="0" xfId="0">
      <alignment horizontal="center" vertical="center"/>
    </xf>
    <xf numFmtId="164" fontId="2" fillId="5" borderId="1" pivotButton="0" quotePrefix="0" xfId="0"/>
    <xf numFmtId="164" fontId="2" fillId="0" borderId="1" pivotButton="0" quotePrefix="0" xfId="0"/>
    <xf numFmtId="4" fontId="6" fillId="5" borderId="1" pivotButton="0" quotePrefix="0" xfId="0"/>
    <xf numFmtId="0" fontId="8" fillId="0" borderId="1" pivotButton="0" quotePrefix="0" xfId="0"/>
    <xf numFmtId="0" fontId="9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Implied value per share</a:t>
            </a:r>
          </a:p>
        </rich>
      </tx>
    </title>
    <plotArea>
      <barChart>
        <barDir val="bar"/>
        <grouping val="stacked"/>
        <ser>
          <idx val="0"/>
          <order val="0"/>
          <spPr>
            <a:noFill xmlns:a="http://schemas.openxmlformats.org/drawingml/2006/main"/>
            <a:ln xmlns:a="http://schemas.openxmlformats.org/drawingml/2006/main">
              <a:prstDash val="solid"/>
            </a:ln>
          </spPr>
          <cat>
            <numRef>
              <f>'FOOTBALL_FIELD'!$A$5:$A$10</f>
            </numRef>
          </cat>
          <val>
            <numRef>
              <f>'FOOTBALL_FIELD'!$E$5:$E$10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'FOOTBALL_FIELD'!$A$5:$A$10</f>
            </numRef>
          </cat>
          <val>
            <numRef>
              <f>'FOOTBALL_FIELD'!$D$5:$D$10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per share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8" customWidth="1" min="1" max="1"/>
    <col width="112" customWidth="1" min="2" max="2"/>
  </cols>
  <sheetData>
    <row r="1">
      <c r="A1" s="1" t="inlineStr">
        <is>
          <t>Testco Industries plc (TSTC) — DCF valuation model</t>
        </is>
      </c>
    </row>
    <row r="3">
      <c r="A3" s="2" t="inlineStr">
        <is>
          <t>Built</t>
        </is>
      </c>
      <c r="B3" t="inlineStr">
        <is>
          <t>2026-10-17</t>
        </is>
      </c>
    </row>
    <row r="4">
      <c r="A4" s="2" t="inlineStr">
        <is>
          <t>Currency</t>
        </is>
      </c>
      <c r="B4" t="inlineStr">
        <is>
          <t>USD</t>
        </is>
      </c>
    </row>
    <row r="5">
      <c r="A5" s="2" t="inlineStr">
        <is>
          <t>Units</t>
        </is>
      </c>
      <c r="B5" t="inlineStr">
        <is>
          <t>millions</t>
        </is>
      </c>
    </row>
    <row r="6">
      <c r="A6" s="2" t="inlineStr">
        <is>
          <t>Fiscal year end</t>
        </is>
      </c>
      <c r="B6" t="inlineStr">
        <is>
          <t>31 December</t>
        </is>
      </c>
    </row>
    <row r="7">
      <c r="A7" s="2" t="inlineStr">
        <is>
          <t>Generated by</t>
        </is>
      </c>
      <c r="B7" t="inlineStr">
        <is>
          <t>Financopedia build_model.py</t>
        </is>
      </c>
    </row>
    <row r="8">
      <c r="A8" s="2" t="inlineStr"/>
      <c r="B8" t="inlineStr"/>
    </row>
    <row r="9">
      <c r="A9" s="2" t="inlineStr">
        <is>
          <t>Colour key</t>
        </is>
      </c>
      <c r="B9" t="inlineStr">
        <is>
          <t>Blue = input you can change · Black = formula · Amber italic = estimated input</t>
        </is>
      </c>
    </row>
    <row r="10">
      <c r="A10" s="2" t="inlineStr">
        <is>
          <t>Structure</t>
        </is>
      </c>
      <c r="B10" t="inlineStr">
        <is>
          <t>Every figure outside INPUTS and HISTORICALS is a formula. Change an input, the model moves.</t>
        </is>
      </c>
    </row>
    <row r="11">
      <c r="A11" s="2" t="inlineStr">
        <is>
          <t>CHECKS tab</t>
        </is>
      </c>
      <c r="B11" t="inlineStr">
        <is>
          <t>Live assertions recomputing the model's identities. All must read PASS.</t>
        </is>
      </c>
    </row>
    <row r="12">
      <c r="A12" s="2" t="inlineStr">
        <is>
          <t>History</t>
        </is>
      </c>
      <c r="B12" t="inlineStr">
        <is>
          <t>10 reported years; see the statistics block on HISTORICALS for the range each assumption sits in</t>
        </is>
      </c>
    </row>
    <row r="13">
      <c r="A13" s="2" t="inlineStr">
        <is>
          <t>Forecast</t>
        </is>
      </c>
      <c r="B13" t="inlineStr">
        <is>
          <t>7 years, then a terminal value</t>
        </is>
      </c>
    </row>
    <row r="14">
      <c r="A14" s="2" t="inlineStr">
        <is>
          <t>Discounting</t>
        </is>
      </c>
      <c r="B14" t="inlineStr">
        <is>
          <t>First period is 0.45 years from the valuation date; 1.00 is year-end, 0.50 the mid-year convention</t>
        </is>
      </c>
    </row>
    <row r="15">
      <c r="A15" s="2" t="inlineStr">
        <is>
          <t>WACC</t>
        </is>
      </c>
      <c r="B15" t="inlineStr">
        <is>
          <t>Derived on the WACC tab — peer betas unlevered and re-levered, a Blume-adjusted regression beta, an equity risk premium from the market record, and the cost of debt from interest actually paid</t>
        </is>
      </c>
    </row>
    <row r="16">
      <c r="A16" s="2" t="inlineStr">
        <is>
          <t>Top line</t>
        </is>
      </c>
      <c r="B16" t="inlineStr">
        <is>
          <t>Built up on the SEGMENTS tab; the group growth rate on INPUTS is derived from the mix</t>
        </is>
      </c>
    </row>
    <row r="17">
      <c r="A17" s="2" t="inlineStr">
        <is>
          <t>Beta</t>
        </is>
      </c>
      <c r="B17" t="inlineStr">
        <is>
          <t>Regressed from the price series on BETA_REGRESSION — slope, alpha and R² computed in the sheet</t>
        </is>
      </c>
    </row>
    <row r="18">
      <c r="A18" s="2" t="inlineStr">
        <is>
          <t>Cross-checks</t>
        </is>
      </c>
      <c r="B18" t="inlineStr">
        <is>
          <t>RELATIVE_PRICING carries the full peer distribution; FOOTBALL_FIELD puts every method's range on one scale</t>
        </is>
      </c>
    </row>
    <row r="19">
      <c r="A19" s="2" t="inlineStr"/>
      <c r="B19" t="inlineStr"/>
    </row>
    <row r="20">
      <c r="A20" s="2" t="inlineStr">
        <is>
          <t>Scope</t>
        </is>
      </c>
      <c r="B20" t="inlineStr">
        <is>
          <t>Research and analysis only. This workbook expresses no view on whether to buy, sell or transact.</t>
        </is>
      </c>
    </row>
    <row r="21">
      <c r="A21" s="2" t="inlineStr">
        <is>
          <t>Not advice</t>
        </is>
      </c>
      <c r="B21" t="inlineStr">
        <is>
          <t>Not financial advice and not produced by a licensed advisor. Assumptions are estimates and will be wrong to some degree; the sensitivity tab exists to show by how much.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62" customWidth="1" min="9" max="9"/>
  </cols>
  <sheetData>
    <row r="1">
      <c r="A1" s="1" t="inlineStr">
        <is>
          <t>INPUTS — the only assumptions in the model</t>
        </is>
      </c>
    </row>
    <row r="2">
      <c r="A2" s="3" t="inlineStr">
        <is>
          <t>Blue = input. Amber italic = estimated. Black = calculated from the cells above.</t>
        </is>
      </c>
    </row>
    <row r="3">
      <c r="A3" s="4" t="inlineStr">
        <is>
          <t>Assumption</t>
        </is>
      </c>
      <c r="B3" s="4" t="inlineStr">
        <is>
          <t>Value</t>
        </is>
      </c>
      <c r="C3" s="4" t="inlineStr">
        <is>
          <t>Unit</t>
        </is>
      </c>
      <c r="I3" s="2" t="inlineStr">
        <is>
          <t>Basis / source</t>
        </is>
      </c>
    </row>
    <row r="4">
      <c r="A4" s="5" t="inlineStr">
        <is>
          <t>Tax rate</t>
        </is>
      </c>
      <c r="B4" s="6" t="n">
        <v>0.21</v>
      </c>
      <c r="C4" t="inlineStr">
        <is>
          <t>%</t>
        </is>
      </c>
      <c r="I4" s="7" t="inlineStr">
        <is>
          <t>FY2025 effective rate per the 10-K tax footnote</t>
        </is>
      </c>
    </row>
    <row r="5">
      <c r="A5" s="5" t="inlineStr">
        <is>
          <t>Risk-free rate</t>
        </is>
      </c>
      <c r="B5" s="8">
        <f>WACC!B56</f>
        <v/>
      </c>
      <c r="C5" t="inlineStr">
        <is>
          <t>%</t>
        </is>
      </c>
      <c r="I5" s="7" t="inlineStr">
        <is>
          <t>Derived on the WACC tab</t>
        </is>
      </c>
    </row>
    <row r="6">
      <c r="A6" s="5" t="inlineStr">
        <is>
          <t>Equity risk premium</t>
        </is>
      </c>
      <c r="B6" s="8">
        <f>WACC!B57</f>
        <v/>
      </c>
      <c r="C6" t="inlineStr">
        <is>
          <t>%</t>
        </is>
      </c>
      <c r="I6" s="7" t="inlineStr">
        <is>
          <t>Derived on the WACC tab</t>
        </is>
      </c>
    </row>
    <row r="7">
      <c r="A7" s="5" t="inlineStr">
        <is>
          <t>Beta</t>
        </is>
      </c>
      <c r="B7" s="9">
        <f>WACC!B23</f>
        <v/>
      </c>
      <c r="C7" t="inlineStr">
        <is>
          <t>x</t>
        </is>
      </c>
      <c r="I7" s="7" t="inlineStr">
        <is>
          <t>Derived on the WACC tab</t>
        </is>
      </c>
    </row>
    <row r="8">
      <c r="A8" s="5" t="inlineStr">
        <is>
          <t>Cost of debt (pre-tax)</t>
        </is>
      </c>
      <c r="B8" s="8">
        <f>WACC!B62</f>
        <v/>
      </c>
      <c r="C8" t="inlineStr">
        <is>
          <t>%</t>
        </is>
      </c>
      <c r="I8" s="7" t="inlineStr">
        <is>
          <t>Derived on the WACC tab</t>
        </is>
      </c>
    </row>
    <row r="9">
      <c r="A9" s="5" t="inlineStr">
        <is>
          <t>Debt weight of capital</t>
        </is>
      </c>
      <c r="B9" s="8">
        <f>WACC!B69</f>
        <v/>
      </c>
      <c r="C9" t="inlineStr">
        <is>
          <t>%</t>
        </is>
      </c>
      <c r="I9" s="7" t="inlineStr">
        <is>
          <t>Derived on the WACC tab</t>
        </is>
      </c>
    </row>
    <row r="10">
      <c r="A10" s="5" t="inlineStr">
        <is>
          <t>WACC (calculated)</t>
        </is>
      </c>
      <c r="B10" s="10">
        <f>WACC!B70</f>
        <v/>
      </c>
      <c r="C10" t="inlineStr">
        <is>
          <t>%</t>
        </is>
      </c>
      <c r="I10" s="7" t="inlineStr">
        <is>
          <t>Derived on the WACC tab from the peer set, the regression beta, the market record and interest actually paid</t>
        </is>
      </c>
    </row>
    <row r="11">
      <c r="A11" s="5" t="inlineStr">
        <is>
          <t>Terminal growth rate</t>
        </is>
      </c>
      <c r="B11" s="6" t="n">
        <v>0.025</v>
      </c>
      <c r="C11" t="inlineStr">
        <is>
          <t>%</t>
        </is>
      </c>
      <c r="I11" s="7" t="inlineStr">
        <is>
          <t>Below long-run US nominal GDP growth</t>
        </is>
      </c>
    </row>
    <row r="12">
      <c r="A12" s="5" t="inlineStr">
        <is>
          <t>Exit EV/EBITDA multiple</t>
        </is>
      </c>
      <c r="B12" s="11" t="n">
        <v>11</v>
      </c>
      <c r="C12" t="inlineStr">
        <is>
          <t>x</t>
        </is>
      </c>
      <c r="I12" s="7" t="inlineStr">
        <is>
          <t>ESTIMATE: peer median EV/EBITDA, cross-check only</t>
        </is>
      </c>
    </row>
    <row r="13">
      <c r="A13" s="5" t="inlineStr">
        <is>
          <t>Net debt</t>
        </is>
      </c>
      <c r="B13" s="12" t="n">
        <v>1150</v>
      </c>
      <c r="C13" t="inlineStr">
        <is>
          <t>millions</t>
        </is>
      </c>
      <c r="I13" s="7" t="inlineStr">
        <is>
          <t>Total debt less cash, FY2025 balance sheet</t>
        </is>
      </c>
    </row>
    <row r="14">
      <c r="A14" s="5" t="inlineStr">
        <is>
          <t>Shares outstanding</t>
        </is>
      </c>
      <c r="B14" s="12" t="n">
        <v>420</v>
      </c>
      <c r="C14" t="inlineStr">
        <is>
          <t>millions</t>
        </is>
      </c>
      <c r="I14" s="7" t="inlineStr">
        <is>
          <t>Diluted weighted average shares, FY2025 10-K</t>
        </is>
      </c>
    </row>
    <row r="15">
      <c r="A15" s="5" t="inlineStr">
        <is>
          <t>Current share price</t>
        </is>
      </c>
      <c r="B15" s="13" t="n">
        <v>21.4</v>
      </c>
      <c r="C15" t="inlineStr">
        <is>
          <t>millions</t>
        </is>
      </c>
      <c r="I15" s="7" t="inlineStr">
        <is>
          <t>LSE close, 2026-10-16</t>
        </is>
      </c>
    </row>
    <row r="16">
      <c r="A16" s="5" t="inlineStr">
        <is>
          <t>Sensitivity: WACC step</t>
        </is>
      </c>
      <c r="B16" s="6" t="n">
        <v>0.005</v>
      </c>
      <c r="C16" t="inlineStr">
        <is>
          <t>%</t>
        </is>
      </c>
      <c r="I16" s="7" t="inlineStr"/>
    </row>
    <row r="17">
      <c r="A17" s="5" t="inlineStr">
        <is>
          <t>Sensitivity: x-axis step</t>
        </is>
      </c>
      <c r="B17" s="6" t="n">
        <v>0.0025</v>
      </c>
      <c r="C17" t="inlineStr">
        <is>
          <t>%</t>
        </is>
      </c>
      <c r="I17" s="7" t="inlineStr"/>
    </row>
    <row r="18">
      <c r="A18" s="5" t="inlineStr">
        <is>
          <t>First period (years from valuation date)</t>
        </is>
      </c>
      <c r="B18" s="14" t="n">
        <v>0.45</v>
      </c>
      <c r="C18" t="inlineStr">
        <is>
          <t>x</t>
        </is>
      </c>
      <c r="I18" s="7" t="inlineStr">
        <is>
          <t>Valuation date 2026-10-17; 0.45 of FY2026 remains to the 31 December year end</t>
        </is>
      </c>
    </row>
    <row r="19">
      <c r="A19" s="5" t="inlineStr">
        <is>
          <t>Scenario growth shift (+/-)</t>
        </is>
      </c>
      <c r="B19" s="6" t="n">
        <v>0.02</v>
      </c>
      <c r="C19" t="inlineStr">
        <is>
          <t>%</t>
        </is>
      </c>
      <c r="I19" s="7" t="inlineStr">
        <is>
          <t>ESTIMATE: +/-2pp on the growth path, roughly the spread of broker forecasts</t>
        </is>
      </c>
    </row>
    <row r="21">
      <c r="A21" s="4" t="inlineStr">
        <is>
          <t>Driver</t>
        </is>
      </c>
      <c r="B21" s="4" t="inlineStr">
        <is>
          <t>Y1</t>
        </is>
      </c>
      <c r="C21" s="4" t="inlineStr">
        <is>
          <t>Y2</t>
        </is>
      </c>
      <c r="D21" s="4" t="inlineStr">
        <is>
          <t>Y3</t>
        </is>
      </c>
      <c r="E21" s="4" t="inlineStr">
        <is>
          <t>Y4</t>
        </is>
      </c>
      <c r="F21" s="4" t="inlineStr">
        <is>
          <t>Y5</t>
        </is>
      </c>
      <c r="G21" s="4" t="inlineStr">
        <is>
          <t>Y6</t>
        </is>
      </c>
      <c r="H21" s="4" t="inlineStr">
        <is>
          <t>Y7</t>
        </is>
      </c>
      <c r="I21" s="2" t="inlineStr">
        <is>
          <t>Basis / source</t>
        </is>
      </c>
    </row>
    <row r="22">
      <c r="A22" s="5" t="inlineStr">
        <is>
          <t>Revenue growth</t>
        </is>
      </c>
      <c r="B22" s="8">
        <f>SEGMENTS!L11</f>
        <v/>
      </c>
      <c r="C22" s="8">
        <f>SEGMENTS!M11</f>
        <v/>
      </c>
      <c r="D22" s="8">
        <f>SEGMENTS!N11</f>
        <v/>
      </c>
      <c r="E22" s="8">
        <f>SEGMENTS!O11</f>
        <v/>
      </c>
      <c r="F22" s="8">
        <f>SEGMENTS!P11</f>
        <v/>
      </c>
      <c r="G22" s="8">
        <f>SEGMENTS!Q11</f>
        <v/>
      </c>
      <c r="H22" s="8">
        <f>SEGMENTS!R11</f>
        <v/>
      </c>
      <c r="I22" s="7" t="inlineStr">
        <is>
          <t>Built up on the SEGMENTS tab — growth is a consequence of the mix</t>
        </is>
      </c>
    </row>
    <row r="23">
      <c r="A23" s="5" t="inlineStr">
        <is>
          <t>EBIT margin</t>
        </is>
      </c>
      <c r="B23" s="15" t="n">
        <v>0.214</v>
      </c>
      <c r="C23" s="15" t="n">
        <v>0.213</v>
      </c>
      <c r="D23" s="15" t="n">
        <v>0.212</v>
      </c>
      <c r="E23" s="15" t="n">
        <v>0.212</v>
      </c>
      <c r="F23" s="15" t="n">
        <v>0.211</v>
      </c>
      <c r="G23" s="15" t="n">
        <v>0.211</v>
      </c>
      <c r="H23" s="15" t="n">
        <v>0.21</v>
      </c>
      <c r="I23" s="7" t="inlineStr">
        <is>
          <t>ESTIMATE: held near the FY2023-FY2025 level, inside the 10-year range</t>
        </is>
      </c>
    </row>
    <row r="24">
      <c r="A24" s="5" t="inlineStr">
        <is>
          <t>D&amp;A (% of revenue)</t>
        </is>
      </c>
      <c r="B24" s="6" t="n">
        <v>0.049</v>
      </c>
      <c r="C24" s="6" t="n">
        <v>0.049</v>
      </c>
      <c r="D24" s="6" t="n">
        <v>0.049</v>
      </c>
      <c r="E24" s="6" t="n">
        <v>0.049</v>
      </c>
      <c r="F24" s="6" t="n">
        <v>0.049</v>
      </c>
      <c r="G24" s="6" t="n">
        <v>0.049</v>
      </c>
      <c r="H24" s="6" t="n">
        <v>0.049</v>
      </c>
      <c r="I24" s="7" t="inlineStr">
        <is>
          <t>10-year average of D&amp;A over revenue (10-K filings)</t>
        </is>
      </c>
    </row>
    <row r="25">
      <c r="A25" s="5" t="inlineStr">
        <is>
          <t>Capex (% of revenue)</t>
        </is>
      </c>
      <c r="B25" s="6" t="n">
        <v>0.06</v>
      </c>
      <c r="C25" s="6" t="n">
        <v>0.059</v>
      </c>
      <c r="D25" s="6" t="n">
        <v>0.058</v>
      </c>
      <c r="E25" s="6" t="n">
        <v>0.057</v>
      </c>
      <c r="F25" s="6" t="n">
        <v>0.056</v>
      </c>
      <c r="G25" s="6" t="n">
        <v>0.055</v>
      </c>
      <c r="H25" s="6" t="n">
        <v>0.055</v>
      </c>
      <c r="I25" s="7" t="inlineStr">
        <is>
          <t>Y1 guided capex; later years fade to the 10-year average</t>
        </is>
      </c>
    </row>
    <row r="26">
      <c r="A26" s="5" t="inlineStr">
        <is>
          <t>Net working capital (% of revenue)</t>
        </is>
      </c>
      <c r="B26" s="15" t="n">
        <v>0.1</v>
      </c>
      <c r="C26" s="15" t="n">
        <v>0.1</v>
      </c>
      <c r="D26" s="15" t="n">
        <v>0.1</v>
      </c>
      <c r="E26" s="15" t="n">
        <v>0.1</v>
      </c>
      <c r="F26" s="15" t="n">
        <v>0.1</v>
      </c>
      <c r="G26" s="15" t="n">
        <v>0.1</v>
      </c>
      <c r="H26" s="15" t="n">
        <v>0.1</v>
      </c>
      <c r="I26" s="7" t="inlineStr">
        <is>
          <t>ESTIMATE: 10-year average of NWC over revenue</t>
        </is>
      </c>
    </row>
    <row r="29">
      <c r="A29" s="4" t="inlineStr">
        <is>
          <t>Peer (comparables cross-check)</t>
        </is>
      </c>
      <c r="B29" s="4" t="inlineStr">
        <is>
          <t>EV/EBITDA</t>
        </is>
      </c>
      <c r="C29" s="4" t="inlineStr">
        <is>
          <t>P/E</t>
        </is>
      </c>
      <c r="D29" s="2" t="inlineStr">
        <is>
          <t>Source</t>
        </is>
      </c>
    </row>
    <row r="30">
      <c r="A30" s="16" t="inlineStr">
        <is>
          <t>Peer One</t>
        </is>
      </c>
      <c r="B30" s="17" t="n">
        <v>10.5</v>
      </c>
      <c r="C30" s="17" t="n">
        <v>18</v>
      </c>
      <c r="D30" s="7" t="inlineStr">
        <is>
          <t>exchange data, 2026-10-16</t>
        </is>
      </c>
    </row>
    <row r="31">
      <c r="A31" s="16" t="inlineStr">
        <is>
          <t>Peer Two</t>
        </is>
      </c>
      <c r="B31" s="17" t="n">
        <v>12</v>
      </c>
      <c r="C31" s="17" t="n">
        <v>21.5</v>
      </c>
      <c r="D31" s="7" t="inlineStr">
        <is>
          <t>exchange data, 2026-10-16</t>
        </is>
      </c>
    </row>
    <row r="32">
      <c r="A32" s="16" t="inlineStr">
        <is>
          <t>Peer Three</t>
        </is>
      </c>
      <c r="B32" s="17" t="n">
        <v>9.4</v>
      </c>
      <c r="C32" s="17" t="n">
        <v>16.2</v>
      </c>
      <c r="D32" s="7" t="inlineStr">
        <is>
          <t>exchange data, 2026-10-16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58" customWidth="1" min="12" max="12"/>
  </cols>
  <sheetData>
    <row r="1">
      <c r="A1" s="1" t="inlineStr">
        <is>
          <t>HISTORICALS — 10 reported years, each figure with its filing</t>
        </is>
      </c>
    </row>
    <row r="2">
      <c r="A2" s="3" t="inlineStr">
        <is>
          <t>Blue = as reported in the cited filing. Black = calculated from the rows above.</t>
        </is>
      </c>
    </row>
    <row r="3">
      <c r="A3" s="4" t="inlineStr">
        <is>
          <t>Metric</t>
        </is>
      </c>
      <c r="B3" s="4" t="inlineStr">
        <is>
          <t>2016</t>
        </is>
      </c>
      <c r="C3" s="4" t="inlineStr">
        <is>
          <t>2017</t>
        </is>
      </c>
      <c r="D3" s="4" t="inlineStr">
        <is>
          <t>2018</t>
        </is>
      </c>
      <c r="E3" s="4" t="inlineStr">
        <is>
          <t>2019</t>
        </is>
      </c>
      <c r="F3" s="4" t="inlineStr">
        <is>
          <t>2020</t>
        </is>
      </c>
      <c r="G3" s="4" t="inlineStr">
        <is>
          <t>2021</t>
        </is>
      </c>
      <c r="H3" s="4" t="inlineStr">
        <is>
          <t>2022</t>
        </is>
      </c>
      <c r="I3" s="4" t="inlineStr">
        <is>
          <t>2023</t>
        </is>
      </c>
      <c r="J3" s="4" t="inlineStr">
        <is>
          <t>2024</t>
        </is>
      </c>
      <c r="K3" s="4" t="inlineStr">
        <is>
          <t>2025</t>
        </is>
      </c>
      <c r="L3" s="2" t="inlineStr">
        <is>
          <t>Source (filing, date)</t>
        </is>
      </c>
    </row>
    <row r="4">
      <c r="A4" s="5" t="inlineStr">
        <is>
          <t>Revenue</t>
        </is>
      </c>
      <c r="B4" s="12" t="n">
        <v>2150</v>
      </c>
      <c r="C4" s="12" t="n">
        <v>2365</v>
      </c>
      <c r="D4" s="12" t="n">
        <v>2580</v>
      </c>
      <c r="E4" s="12" t="n">
        <v>2790</v>
      </c>
      <c r="F4" s="12" t="n">
        <v>2510</v>
      </c>
      <c r="G4" s="12" t="n">
        <v>2980</v>
      </c>
      <c r="H4" s="12" t="n">
        <v>3320</v>
      </c>
      <c r="I4" s="12" t="n">
        <v>3610</v>
      </c>
      <c r="J4" s="12" t="n">
        <v>3940</v>
      </c>
      <c r="K4" s="12" t="n">
        <v>4280</v>
      </c>
      <c r="L4" s="7" t="inlineStr">
        <is>
          <t>FY2016-FY2025 10-K filings; FY2025 filed 2026-02-14 (revenue)</t>
        </is>
      </c>
    </row>
    <row r="5">
      <c r="A5" s="5" t="inlineStr">
        <is>
          <t>EBIT</t>
        </is>
      </c>
      <c r="B5" s="12" t="n">
        <v>367.7</v>
      </c>
      <c r="C5" s="12" t="n">
        <v>421</v>
      </c>
      <c r="D5" s="12" t="n">
        <v>469.6</v>
      </c>
      <c r="E5" s="12" t="n">
        <v>518.9</v>
      </c>
      <c r="F5" s="12" t="n">
        <v>356.4</v>
      </c>
      <c r="G5" s="12" t="n">
        <v>581.1</v>
      </c>
      <c r="H5" s="12" t="n">
        <v>667.3</v>
      </c>
      <c r="I5" s="12" t="n">
        <v>743.7</v>
      </c>
      <c r="J5" s="12" t="n">
        <v>827.4</v>
      </c>
      <c r="K5" s="12" t="n">
        <v>920.2</v>
      </c>
      <c r="L5" s="7" t="inlineStr">
        <is>
          <t>FY2016-FY2025 10-K filings; FY2025 filed 2026-02-14 (ebit)</t>
        </is>
      </c>
    </row>
    <row r="6">
      <c r="A6" s="5" t="inlineStr">
        <is>
          <t>EBIT margin</t>
        </is>
      </c>
      <c r="B6" s="8">
        <f>B5/B4</f>
        <v/>
      </c>
      <c r="C6" s="8">
        <f>C5/C4</f>
        <v/>
      </c>
      <c r="D6" s="8">
        <f>D5/D4</f>
        <v/>
      </c>
      <c r="E6" s="8">
        <f>E5/E4</f>
        <v/>
      </c>
      <c r="F6" s="8">
        <f>F5/F4</f>
        <v/>
      </c>
      <c r="G6" s="8">
        <f>G5/G4</f>
        <v/>
      </c>
      <c r="H6" s="8">
        <f>H5/H4</f>
        <v/>
      </c>
      <c r="I6" s="8">
        <f>I5/I4</f>
        <v/>
      </c>
      <c r="J6" s="8">
        <f>J5/J4</f>
        <v/>
      </c>
      <c r="K6" s="8">
        <f>K5/K4</f>
        <v/>
      </c>
    </row>
    <row r="7">
      <c r="A7" s="5" t="inlineStr">
        <is>
          <t>D&amp;A</t>
        </is>
      </c>
      <c r="B7" s="12" t="n">
        <v>105.4</v>
      </c>
      <c r="C7" s="12" t="n">
        <v>115.9</v>
      </c>
      <c r="D7" s="12" t="n">
        <v>126.4</v>
      </c>
      <c r="E7" s="12" t="n">
        <v>136.7</v>
      </c>
      <c r="F7" s="12" t="n">
        <v>123</v>
      </c>
      <c r="G7" s="12" t="n">
        <v>146</v>
      </c>
      <c r="H7" s="12" t="n">
        <v>162.7</v>
      </c>
      <c r="I7" s="12" t="n">
        <v>176.9</v>
      </c>
      <c r="J7" s="12" t="n">
        <v>193.1</v>
      </c>
      <c r="K7" s="12" t="n">
        <v>209.7</v>
      </c>
      <c r="L7" s="7" t="inlineStr">
        <is>
          <t>FY2016-FY2025 10-K filings; FY2025 filed 2026-02-14 (da)</t>
        </is>
      </c>
    </row>
    <row r="8">
      <c r="A8" s="5" t="inlineStr">
        <is>
          <t>Capex</t>
        </is>
      </c>
      <c r="B8" s="12" t="n">
        <v>133.3</v>
      </c>
      <c r="C8" s="12" t="n">
        <v>153.7</v>
      </c>
      <c r="D8" s="12" t="n">
        <v>157.4</v>
      </c>
      <c r="E8" s="12" t="n">
        <v>161.8</v>
      </c>
      <c r="F8" s="12" t="n">
        <v>102.9</v>
      </c>
      <c r="G8" s="12" t="n">
        <v>175.8</v>
      </c>
      <c r="H8" s="12" t="n">
        <v>209.2</v>
      </c>
      <c r="I8" s="12" t="n">
        <v>216.6</v>
      </c>
      <c r="J8" s="12" t="n">
        <v>228.5</v>
      </c>
      <c r="K8" s="12" t="n">
        <v>256.8</v>
      </c>
      <c r="L8" s="7" t="inlineStr">
        <is>
          <t>FY2016-FY2025 10-K filings; FY2025 filed 2026-02-14 (capex)</t>
        </is>
      </c>
    </row>
    <row r="9">
      <c r="A9" s="5" t="inlineStr">
        <is>
          <t>Net working capital (balance)</t>
        </is>
      </c>
      <c r="B9" s="12" t="n">
        <v>215</v>
      </c>
      <c r="C9" s="12" t="n">
        <v>236.5</v>
      </c>
      <c r="D9" s="12" t="n">
        <v>258</v>
      </c>
      <c r="E9" s="12" t="n">
        <v>279</v>
      </c>
      <c r="F9" s="12" t="n">
        <v>251</v>
      </c>
      <c r="G9" s="12" t="n">
        <v>298</v>
      </c>
      <c r="H9" s="12" t="n">
        <v>332</v>
      </c>
      <c r="I9" s="12" t="n">
        <v>361</v>
      </c>
      <c r="J9" s="12" t="n">
        <v>394</v>
      </c>
      <c r="K9" s="12" t="n">
        <v>428</v>
      </c>
      <c r="L9" s="7" t="inlineStr">
        <is>
          <t>FY2016-FY2025 10-K filings; FY2025 filed 2026-02-14 (nwc_balance)</t>
        </is>
      </c>
    </row>
    <row r="10">
      <c r="A10" s="5" t="inlineStr">
        <is>
          <t>Change in net working capital</t>
        </is>
      </c>
      <c r="B10" s="18">
        <f>NA()</f>
        <v/>
      </c>
      <c r="C10" s="18">
        <f>C9-B9</f>
        <v/>
      </c>
      <c r="D10" s="18">
        <f>D9-C9</f>
        <v/>
      </c>
      <c r="E10" s="18">
        <f>E9-D9</f>
        <v/>
      </c>
      <c r="F10" s="18">
        <f>F9-E9</f>
        <v/>
      </c>
      <c r="G10" s="18">
        <f>G9-F9</f>
        <v/>
      </c>
      <c r="H10" s="18">
        <f>H9-G9</f>
        <v/>
      </c>
      <c r="I10" s="18">
        <f>I9-H9</f>
        <v/>
      </c>
      <c r="J10" s="18">
        <f>J9-I9</f>
        <v/>
      </c>
      <c r="K10" s="18">
        <f>K9-J9</f>
        <v/>
      </c>
    </row>
    <row r="11">
      <c r="A11" s="5" t="inlineStr">
        <is>
          <t>Unlevered FCF (derived)</t>
        </is>
      </c>
      <c r="B11" s="18">
        <f>NA()</f>
        <v/>
      </c>
      <c r="C11" s="18">
        <f>C5*(1-INPUTS!$B$4)+C7-C8-C10</f>
        <v/>
      </c>
      <c r="D11" s="18">
        <f>D5*(1-INPUTS!$B$4)+D7-D8-D10</f>
        <v/>
      </c>
      <c r="E11" s="18">
        <f>E5*(1-INPUTS!$B$4)+E7-E8-E10</f>
        <v/>
      </c>
      <c r="F11" s="18">
        <f>F5*(1-INPUTS!$B$4)+F7-F8-F10</f>
        <v/>
      </c>
      <c r="G11" s="18">
        <f>G5*(1-INPUTS!$B$4)+G7-G8-G10</f>
        <v/>
      </c>
      <c r="H11" s="18">
        <f>H5*(1-INPUTS!$B$4)+H7-H8-H10</f>
        <v/>
      </c>
      <c r="I11" s="18">
        <f>I5*(1-INPUTS!$B$4)+I7-I8-I10</f>
        <v/>
      </c>
      <c r="J11" s="18">
        <f>J5*(1-INPUTS!$B$4)+J7-J8-J10</f>
        <v/>
      </c>
      <c r="K11" s="18">
        <f>K5*(1-INPUTS!$B$4)+K7-K8-K10</f>
        <v/>
      </c>
    </row>
    <row r="12">
      <c r="A12" s="5" t="inlineStr">
        <is>
          <t>Net PP&amp;E</t>
        </is>
      </c>
      <c r="B12" s="12" t="n">
        <v>1182.5</v>
      </c>
      <c r="C12" s="12" t="n">
        <v>1300.8</v>
      </c>
      <c r="D12" s="12" t="n">
        <v>1419</v>
      </c>
      <c r="E12" s="12" t="n">
        <v>1534.5</v>
      </c>
      <c r="F12" s="12" t="n">
        <v>1380.5</v>
      </c>
      <c r="G12" s="12" t="n">
        <v>1639</v>
      </c>
      <c r="H12" s="12" t="n">
        <v>1826</v>
      </c>
      <c r="I12" s="12" t="n">
        <v>1985.5</v>
      </c>
      <c r="J12" s="12" t="n">
        <v>2167</v>
      </c>
      <c r="K12" s="12" t="n">
        <v>2354</v>
      </c>
      <c r="L12" s="7" t="inlineStr">
        <is>
          <t>FY2016-FY2025 10-K filings, net property plant and equipment</t>
        </is>
      </c>
    </row>
    <row r="15">
      <c r="A15" s="1" t="inlineStr">
        <is>
          <t>What 10 years of history says</t>
        </is>
      </c>
    </row>
    <row r="16">
      <c r="A16" s="5" t="inlineStr">
        <is>
          <t>Revenue CAGR over the period</t>
        </is>
      </c>
      <c r="B16" s="19">
        <f>((K4/B4)^(1/9))-1</f>
        <v/>
      </c>
      <c r="C16" s="7" t="inlineStr">
        <is>
          <t>Compare this with the projected growth on INPUTS</t>
        </is>
      </c>
    </row>
    <row r="17">
      <c r="A17" s="5" t="inlineStr">
        <is>
          <t>EBIT margin — average</t>
        </is>
      </c>
      <c r="B17" s="19">
        <f>AVERAGE(B6:K6)</f>
        <v/>
      </c>
    </row>
    <row r="18">
      <c r="A18" s="5" t="inlineStr">
        <is>
          <t>EBIT margin — low</t>
        </is>
      </c>
      <c r="B18" s="19">
        <f>MIN(B6:K6)</f>
        <v/>
      </c>
      <c r="C18" s="7" t="inlineStr">
        <is>
          <t>A projected margin below this has happened before; above the high has not</t>
        </is>
      </c>
    </row>
    <row r="19">
      <c r="A19" s="5" t="inlineStr">
        <is>
          <t>EBIT margin — high</t>
        </is>
      </c>
      <c r="B19" s="19">
        <f>MAX(B6:K6)</f>
        <v/>
      </c>
    </row>
    <row r="20">
      <c r="A20" s="5" t="inlineStr">
        <is>
          <t>Capex as % of revenue — average</t>
        </is>
      </c>
      <c r="B20" s="19">
        <f>AVERAGE(B8:K8)/AVERAGE(B4:K4)</f>
        <v/>
      </c>
    </row>
    <row r="21">
      <c r="A21" s="5" t="inlineStr">
        <is>
          <t>Years revenue fell</t>
        </is>
      </c>
      <c r="B21" s="20">
        <f>SUMPRODUCT(--(C4:K4&lt;B4:J4))</f>
        <v/>
      </c>
      <c r="C21" s="7" t="inlineStr">
        <is>
          <t>A model with no down years in a business that has had them is a choice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52" customWidth="1" min="19" max="19"/>
  </cols>
  <sheetData>
    <row r="1">
      <c r="A1" s="1" t="inlineStr">
        <is>
          <t>SEGMENTS — the top line, built up</t>
        </is>
      </c>
    </row>
    <row r="2">
      <c r="A2" s="3" t="inlineStr">
        <is>
          <t>Each segment on its own growth path. Group growth is then a consequence of the mix, not an assumption: a shift toward a faster segment lifts it without anyone asserting that it does.</t>
        </is>
      </c>
    </row>
    <row r="3">
      <c r="A3" s="4" t="inlineStr">
        <is>
          <t>Segment</t>
        </is>
      </c>
      <c r="B3" s="4" t="inlineStr">
        <is>
          <t>2016</t>
        </is>
      </c>
      <c r="C3" s="4" t="inlineStr">
        <is>
          <t>2017</t>
        </is>
      </c>
      <c r="D3" s="4" t="inlineStr">
        <is>
          <t>2018</t>
        </is>
      </c>
      <c r="E3" s="4" t="inlineStr">
        <is>
          <t>2019</t>
        </is>
      </c>
      <c r="F3" s="4" t="inlineStr">
        <is>
          <t>2020</t>
        </is>
      </c>
      <c r="G3" s="4" t="inlineStr">
        <is>
          <t>2021</t>
        </is>
      </c>
      <c r="H3" s="4" t="inlineStr">
        <is>
          <t>2022</t>
        </is>
      </c>
      <c r="I3" s="4" t="inlineStr">
        <is>
          <t>2023</t>
        </is>
      </c>
      <c r="J3" s="4" t="inlineStr">
        <is>
          <t>2024</t>
        </is>
      </c>
      <c r="K3" s="4" t="inlineStr">
        <is>
          <t>2025</t>
        </is>
      </c>
      <c r="L3" s="21" t="inlineStr">
        <is>
          <t>2026</t>
        </is>
      </c>
      <c r="M3" s="21" t="inlineStr">
        <is>
          <t>2027</t>
        </is>
      </c>
      <c r="N3" s="21" t="inlineStr">
        <is>
          <t>2028</t>
        </is>
      </c>
      <c r="O3" s="21" t="inlineStr">
        <is>
          <t>2029</t>
        </is>
      </c>
      <c r="P3" s="21" t="inlineStr">
        <is>
          <t>2030</t>
        </is>
      </c>
      <c r="Q3" s="21" t="inlineStr">
        <is>
          <t>2031</t>
        </is>
      </c>
      <c r="R3" s="21" t="inlineStr">
        <is>
          <t>2032</t>
        </is>
      </c>
    </row>
    <row r="4">
      <c r="A4" s="5" t="inlineStr">
        <is>
          <t>Domestic</t>
        </is>
      </c>
      <c r="B4" s="12" t="n">
        <v>1118</v>
      </c>
      <c r="C4" s="12" t="n">
        <v>1206.2</v>
      </c>
      <c r="D4" s="12" t="n">
        <v>1290</v>
      </c>
      <c r="E4" s="12" t="n">
        <v>1367.1</v>
      </c>
      <c r="F4" s="12" t="n">
        <v>1305.2</v>
      </c>
      <c r="G4" s="12" t="n">
        <v>1400.6</v>
      </c>
      <c r="H4" s="12" t="n">
        <v>1527.2</v>
      </c>
      <c r="I4" s="12" t="n">
        <v>1624.5</v>
      </c>
      <c r="J4" s="12" t="n">
        <v>1733.6</v>
      </c>
      <c r="K4" s="12" t="n">
        <v>1840.4</v>
      </c>
      <c r="L4" s="18">
        <f>K4*(1+L14)</f>
        <v/>
      </c>
      <c r="M4" s="18">
        <f>L4*(1+M14)</f>
        <v/>
      </c>
      <c r="N4" s="18">
        <f>M4*(1+N14)</f>
        <v/>
      </c>
      <c r="O4" s="18">
        <f>N4*(1+O14)</f>
        <v/>
      </c>
      <c r="P4" s="18">
        <f>O4*(1+P14)</f>
        <v/>
      </c>
      <c r="Q4" s="18">
        <f>P4*(1+Q14)</f>
        <v/>
      </c>
      <c r="R4" s="18">
        <f>Q4*(1+R14)</f>
        <v/>
      </c>
    </row>
    <row r="5">
      <c r="A5" s="5" t="inlineStr">
        <is>
          <t>North America</t>
        </is>
      </c>
      <c r="B5" s="12" t="n">
        <v>559</v>
      </c>
      <c r="C5" s="12" t="n">
        <v>638.6</v>
      </c>
      <c r="D5" s="12" t="n">
        <v>722.4</v>
      </c>
      <c r="E5" s="12" t="n">
        <v>809.1</v>
      </c>
      <c r="F5" s="12" t="n">
        <v>652.6</v>
      </c>
      <c r="G5" s="12" t="n">
        <v>923.8</v>
      </c>
      <c r="H5" s="12" t="n">
        <v>1062.4</v>
      </c>
      <c r="I5" s="12" t="n">
        <v>1191.3</v>
      </c>
      <c r="J5" s="12" t="n">
        <v>1339.6</v>
      </c>
      <c r="K5" s="12" t="n">
        <v>1498</v>
      </c>
      <c r="L5" s="18">
        <f>K5*(1+L15)</f>
        <v/>
      </c>
      <c r="M5" s="18">
        <f>L5*(1+M15)</f>
        <v/>
      </c>
      <c r="N5" s="18">
        <f>M5*(1+N15)</f>
        <v/>
      </c>
      <c r="O5" s="18">
        <f>N5*(1+O15)</f>
        <v/>
      </c>
      <c r="P5" s="18">
        <f>O5*(1+P15)</f>
        <v/>
      </c>
      <c r="Q5" s="18">
        <f>P5*(1+Q15)</f>
        <v/>
      </c>
      <c r="R5" s="18">
        <f>Q5*(1+R15)</f>
        <v/>
      </c>
    </row>
    <row r="6">
      <c r="A6" s="5" t="inlineStr">
        <is>
          <t>Europe</t>
        </is>
      </c>
      <c r="B6" s="12" t="n">
        <v>301</v>
      </c>
      <c r="C6" s="12" t="n">
        <v>331.1</v>
      </c>
      <c r="D6" s="12" t="n">
        <v>361.2</v>
      </c>
      <c r="E6" s="12" t="n">
        <v>390.6</v>
      </c>
      <c r="F6" s="12" t="n">
        <v>351.4</v>
      </c>
      <c r="G6" s="12" t="n">
        <v>417.2</v>
      </c>
      <c r="H6" s="12" t="n">
        <v>464.8</v>
      </c>
      <c r="I6" s="12" t="n">
        <v>505.4</v>
      </c>
      <c r="J6" s="12" t="n">
        <v>551.6</v>
      </c>
      <c r="K6" s="12" t="n">
        <v>599.2</v>
      </c>
      <c r="L6" s="18">
        <f>K6*(1+L16)</f>
        <v/>
      </c>
      <c r="M6" s="18">
        <f>L6*(1+M16)</f>
        <v/>
      </c>
      <c r="N6" s="18">
        <f>M6*(1+N16)</f>
        <v/>
      </c>
      <c r="O6" s="18">
        <f>N6*(1+O16)</f>
        <v/>
      </c>
      <c r="P6" s="18">
        <f>O6*(1+P16)</f>
        <v/>
      </c>
      <c r="Q6" s="18">
        <f>P6*(1+Q16)</f>
        <v/>
      </c>
      <c r="R6" s="18">
        <f>Q6*(1+R16)</f>
        <v/>
      </c>
    </row>
    <row r="7">
      <c r="A7" s="5" t="inlineStr">
        <is>
          <t>Other markets</t>
        </is>
      </c>
      <c r="B7" s="12" t="n">
        <v>172</v>
      </c>
      <c r="C7" s="12" t="n">
        <v>189.1</v>
      </c>
      <c r="D7" s="12" t="n">
        <v>206.4</v>
      </c>
      <c r="E7" s="12" t="n">
        <v>223.2</v>
      </c>
      <c r="F7" s="12" t="n">
        <v>200.8</v>
      </c>
      <c r="G7" s="12" t="n">
        <v>238.4</v>
      </c>
      <c r="H7" s="12" t="n">
        <v>265.6</v>
      </c>
      <c r="I7" s="12" t="n">
        <v>288.8</v>
      </c>
      <c r="J7" s="12" t="n">
        <v>315.2</v>
      </c>
      <c r="K7" s="12" t="n">
        <v>342.4</v>
      </c>
      <c r="L7" s="18">
        <f>K7*(1+L17)</f>
        <v/>
      </c>
      <c r="M7" s="18">
        <f>L7*(1+M17)</f>
        <v/>
      </c>
      <c r="N7" s="18">
        <f>M7*(1+N17)</f>
        <v/>
      </c>
      <c r="O7" s="18">
        <f>N7*(1+O17)</f>
        <v/>
      </c>
      <c r="P7" s="18">
        <f>O7*(1+P17)</f>
        <v/>
      </c>
      <c r="Q7" s="18">
        <f>P7*(1+Q17)</f>
        <v/>
      </c>
      <c r="R7" s="18">
        <f>Q7*(1+R17)</f>
        <v/>
      </c>
    </row>
    <row r="8">
      <c r="A8" s="5" t="inlineStr">
        <is>
          <t>Total revenue</t>
        </is>
      </c>
      <c r="B8" s="18">
        <f>SUM(B4:B7)</f>
        <v/>
      </c>
      <c r="C8" s="18">
        <f>SUM(C4:C7)</f>
        <v/>
      </c>
      <c r="D8" s="18">
        <f>SUM(D4:D7)</f>
        <v/>
      </c>
      <c r="E8" s="18">
        <f>SUM(E4:E7)</f>
        <v/>
      </c>
      <c r="F8" s="18">
        <f>SUM(F4:F7)</f>
        <v/>
      </c>
      <c r="G8" s="18">
        <f>SUM(G4:G7)</f>
        <v/>
      </c>
      <c r="H8" s="18">
        <f>SUM(H4:H7)</f>
        <v/>
      </c>
      <c r="I8" s="18">
        <f>SUM(I4:I7)</f>
        <v/>
      </c>
      <c r="J8" s="18">
        <f>SUM(J4:J7)</f>
        <v/>
      </c>
      <c r="K8" s="18">
        <f>SUM(K4:K7)</f>
        <v/>
      </c>
      <c r="L8" s="22">
        <f>SUM(L4:L7)</f>
        <v/>
      </c>
      <c r="M8" s="22">
        <f>SUM(M4:M7)</f>
        <v/>
      </c>
      <c r="N8" s="22">
        <f>SUM(N4:N7)</f>
        <v/>
      </c>
      <c r="O8" s="22">
        <f>SUM(O4:O7)</f>
        <v/>
      </c>
      <c r="P8" s="22">
        <f>SUM(P4:P7)</f>
        <v/>
      </c>
      <c r="Q8" s="22">
        <f>SUM(Q4:Q7)</f>
        <v/>
      </c>
      <c r="R8" s="22">
        <f>SUM(R4:R7)</f>
        <v/>
      </c>
    </row>
    <row r="9">
      <c r="A9" s="5" t="inlineStr">
        <is>
          <t>Reported revenue</t>
        </is>
      </c>
      <c r="B9" s="18">
        <f>HISTORICALS!B4</f>
        <v/>
      </c>
      <c r="C9" s="18">
        <f>HISTORICALS!C4</f>
        <v/>
      </c>
      <c r="D9" s="18">
        <f>HISTORICALS!D4</f>
        <v/>
      </c>
      <c r="E9" s="18">
        <f>HISTORICALS!E4</f>
        <v/>
      </c>
      <c r="F9" s="18">
        <f>HISTORICALS!F4</f>
        <v/>
      </c>
      <c r="G9" s="18">
        <f>HISTORICALS!G4</f>
        <v/>
      </c>
      <c r="H9" s="18">
        <f>HISTORICALS!H4</f>
        <v/>
      </c>
      <c r="I9" s="18">
        <f>HISTORICALS!I4</f>
        <v/>
      </c>
      <c r="J9" s="18">
        <f>HISTORICALS!J4</f>
        <v/>
      </c>
      <c r="K9" s="18">
        <f>HISTORICALS!K4</f>
        <v/>
      </c>
    </row>
    <row r="10">
      <c r="A10" s="5" t="inlineStr">
        <is>
          <t>Check (segments − reported)</t>
        </is>
      </c>
      <c r="B10" s="18">
        <f>B8-B9</f>
        <v/>
      </c>
      <c r="C10" s="18">
        <f>C8-C9</f>
        <v/>
      </c>
      <c r="D10" s="18">
        <f>D8-D9</f>
        <v/>
      </c>
      <c r="E10" s="18">
        <f>E8-E9</f>
        <v/>
      </c>
      <c r="F10" s="18">
        <f>F8-F9</f>
        <v/>
      </c>
      <c r="G10" s="18">
        <f>G8-G9</f>
        <v/>
      </c>
      <c r="H10" s="18">
        <f>H8-H9</f>
        <v/>
      </c>
      <c r="I10" s="18">
        <f>I8-I9</f>
        <v/>
      </c>
      <c r="J10" s="18">
        <f>J8-J9</f>
        <v/>
      </c>
      <c r="K10" s="18">
        <f>K8-K9</f>
        <v/>
      </c>
      <c r="S10" s="7" t="inlineStr">
        <is>
          <t>Must be zero in every reported year, or a segment is missing</t>
        </is>
      </c>
    </row>
    <row r="11">
      <c r="A11" s="5" t="inlineStr">
        <is>
          <t>Implied group growth</t>
        </is>
      </c>
      <c r="L11" s="10">
        <f>L8/K8-1</f>
        <v/>
      </c>
      <c r="M11" s="10">
        <f>M8/L8-1</f>
        <v/>
      </c>
      <c r="N11" s="10">
        <f>N8/M8-1</f>
        <v/>
      </c>
      <c r="O11" s="10">
        <f>O8/N8-1</f>
        <v/>
      </c>
      <c r="P11" s="10">
        <f>P8/O8-1</f>
        <v/>
      </c>
      <c r="Q11" s="10">
        <f>Q8/P8-1</f>
        <v/>
      </c>
      <c r="R11" s="10">
        <f>R8/Q8-1</f>
        <v/>
      </c>
    </row>
    <row r="13">
      <c r="A13" s="1" t="inlineStr">
        <is>
          <t>Growth assumptions by segment</t>
        </is>
      </c>
      <c r="S13" s="2" t="inlineStr">
        <is>
          <t>Basis / source</t>
        </is>
      </c>
    </row>
    <row r="14">
      <c r="A14" s="5" t="inlineStr">
        <is>
          <t>Domestic</t>
        </is>
      </c>
      <c r="L14" s="6" t="n">
        <v>0.045</v>
      </c>
      <c r="M14" s="6" t="n">
        <v>0.042</v>
      </c>
      <c r="N14" s="6" t="n">
        <v>0.04</v>
      </c>
      <c r="O14" s="6" t="n">
        <v>0.038</v>
      </c>
      <c r="P14" s="6" t="n">
        <v>0.035</v>
      </c>
      <c r="Q14" s="6" t="n">
        <v>0.032</v>
      </c>
      <c r="R14" s="6" t="n">
        <v>0.03</v>
      </c>
      <c r="S14" s="7" t="inlineStr">
        <is>
          <t>Segment growth per the FY2025 annual report's outlook statement — FY2016-FY2025 annual reports, segment note</t>
        </is>
      </c>
    </row>
    <row r="15">
      <c r="A15" s="5" t="inlineStr">
        <is>
          <t>North America</t>
        </is>
      </c>
      <c r="L15" s="6" t="n">
        <v>0.125</v>
      </c>
      <c r="M15" s="6" t="n">
        <v>0.112</v>
      </c>
      <c r="N15" s="6" t="n">
        <v>0.098</v>
      </c>
      <c r="O15" s="6" t="n">
        <v>0.08500000000000001</v>
      </c>
      <c r="P15" s="6" t="n">
        <v>0.07199999999999999</v>
      </c>
      <c r="Q15" s="6" t="n">
        <v>0.062</v>
      </c>
      <c r="R15" s="6" t="n">
        <v>0.055</v>
      </c>
      <c r="S15" s="7" t="inlineStr">
        <is>
          <t>Segment growth per the FY2025 annual report's outlook statement — FY2016-FY2025 annual reports, segment note</t>
        </is>
      </c>
    </row>
    <row r="16">
      <c r="A16" s="5" t="inlineStr">
        <is>
          <t>Europe</t>
        </is>
      </c>
      <c r="L16" s="6" t="n">
        <v>0.06</v>
      </c>
      <c r="M16" s="6" t="n">
        <v>0.055</v>
      </c>
      <c r="N16" s="6" t="n">
        <v>0.05</v>
      </c>
      <c r="O16" s="6" t="n">
        <v>0.046</v>
      </c>
      <c r="P16" s="6" t="n">
        <v>0.042</v>
      </c>
      <c r="Q16" s="6" t="n">
        <v>0.038</v>
      </c>
      <c r="R16" s="6" t="n">
        <v>0.035</v>
      </c>
      <c r="S16" s="7" t="inlineStr">
        <is>
          <t>Segment growth per the FY2025 annual report's outlook statement — FY2016-FY2025 annual reports, segment note</t>
        </is>
      </c>
    </row>
    <row r="17">
      <c r="A17" s="5" t="inlineStr">
        <is>
          <t>Other markets</t>
        </is>
      </c>
      <c r="L17" s="6" t="n">
        <v>0.03</v>
      </c>
      <c r="M17" s="6" t="n">
        <v>0.028</v>
      </c>
      <c r="N17" s="6" t="n">
        <v>0.026</v>
      </c>
      <c r="O17" s="6" t="n">
        <v>0.024</v>
      </c>
      <c r="P17" s="6" t="n">
        <v>0.022</v>
      </c>
      <c r="Q17" s="6" t="n">
        <v>0.02</v>
      </c>
      <c r="R17" s="6" t="n">
        <v>0.018</v>
      </c>
      <c r="S17" s="7" t="inlineStr">
        <is>
          <t>Segment growth per the FY2025 annual report's outlook statement — FY2016-FY2025 annual reports, segment note</t>
        </is>
      </c>
    </row>
    <row r="19">
      <c r="A19" s="1" t="inlineStr">
        <is>
          <t>Share of revenue</t>
        </is>
      </c>
    </row>
    <row r="20">
      <c r="A20" s="5" t="inlineStr">
        <is>
          <t>Domestic</t>
        </is>
      </c>
      <c r="B20" s="8">
        <f>B4/B8</f>
        <v/>
      </c>
      <c r="C20" s="8">
        <f>C4/C8</f>
        <v/>
      </c>
      <c r="D20" s="8">
        <f>D4/D8</f>
        <v/>
      </c>
      <c r="E20" s="8">
        <f>E4/E8</f>
        <v/>
      </c>
      <c r="F20" s="8">
        <f>F4/F8</f>
        <v/>
      </c>
      <c r="G20" s="8">
        <f>G4/G8</f>
        <v/>
      </c>
      <c r="H20" s="8">
        <f>H4/H8</f>
        <v/>
      </c>
      <c r="I20" s="8">
        <f>I4/I8</f>
        <v/>
      </c>
      <c r="J20" s="8">
        <f>J4/J8</f>
        <v/>
      </c>
      <c r="K20" s="8">
        <f>K4/K8</f>
        <v/>
      </c>
      <c r="L20" s="8">
        <f>L4/L8</f>
        <v/>
      </c>
      <c r="M20" s="8">
        <f>M4/M8</f>
        <v/>
      </c>
      <c r="N20" s="8">
        <f>N4/N8</f>
        <v/>
      </c>
      <c r="O20" s="8">
        <f>O4/O8</f>
        <v/>
      </c>
      <c r="P20" s="8">
        <f>P4/P8</f>
        <v/>
      </c>
      <c r="Q20" s="8">
        <f>Q4/Q8</f>
        <v/>
      </c>
      <c r="R20" s="8">
        <f>R4/R8</f>
        <v/>
      </c>
    </row>
    <row r="21">
      <c r="A21" s="5" t="inlineStr">
        <is>
          <t>North America</t>
        </is>
      </c>
      <c r="B21" s="8">
        <f>B5/B8</f>
        <v/>
      </c>
      <c r="C21" s="8">
        <f>C5/C8</f>
        <v/>
      </c>
      <c r="D21" s="8">
        <f>D5/D8</f>
        <v/>
      </c>
      <c r="E21" s="8">
        <f>E5/E8</f>
        <v/>
      </c>
      <c r="F21" s="8">
        <f>F5/F8</f>
        <v/>
      </c>
      <c r="G21" s="8">
        <f>G5/G8</f>
        <v/>
      </c>
      <c r="H21" s="8">
        <f>H5/H8</f>
        <v/>
      </c>
      <c r="I21" s="8">
        <f>I5/I8</f>
        <v/>
      </c>
      <c r="J21" s="8">
        <f>J5/J8</f>
        <v/>
      </c>
      <c r="K21" s="8">
        <f>K5/K8</f>
        <v/>
      </c>
      <c r="L21" s="8">
        <f>L5/L8</f>
        <v/>
      </c>
      <c r="M21" s="8">
        <f>M5/M8</f>
        <v/>
      </c>
      <c r="N21" s="8">
        <f>N5/N8</f>
        <v/>
      </c>
      <c r="O21" s="8">
        <f>O5/O8</f>
        <v/>
      </c>
      <c r="P21" s="8">
        <f>P5/P8</f>
        <v/>
      </c>
      <c r="Q21" s="8">
        <f>Q5/Q8</f>
        <v/>
      </c>
      <c r="R21" s="8">
        <f>R5/R8</f>
        <v/>
      </c>
    </row>
    <row r="22">
      <c r="A22" s="5" t="inlineStr">
        <is>
          <t>Europe</t>
        </is>
      </c>
      <c r="B22" s="8">
        <f>B6/B8</f>
        <v/>
      </c>
      <c r="C22" s="8">
        <f>C6/C8</f>
        <v/>
      </c>
      <c r="D22" s="8">
        <f>D6/D8</f>
        <v/>
      </c>
      <c r="E22" s="8">
        <f>E6/E8</f>
        <v/>
      </c>
      <c r="F22" s="8">
        <f>F6/F8</f>
        <v/>
      </c>
      <c r="G22" s="8">
        <f>G6/G8</f>
        <v/>
      </c>
      <c r="H22" s="8">
        <f>H6/H8</f>
        <v/>
      </c>
      <c r="I22" s="8">
        <f>I6/I8</f>
        <v/>
      </c>
      <c r="J22" s="8">
        <f>J6/J8</f>
        <v/>
      </c>
      <c r="K22" s="8">
        <f>K6/K8</f>
        <v/>
      </c>
      <c r="L22" s="8">
        <f>L6/L8</f>
        <v/>
      </c>
      <c r="M22" s="8">
        <f>M6/M8</f>
        <v/>
      </c>
      <c r="N22" s="8">
        <f>N6/N8</f>
        <v/>
      </c>
      <c r="O22" s="8">
        <f>O6/O8</f>
        <v/>
      </c>
      <c r="P22" s="8">
        <f>P6/P8</f>
        <v/>
      </c>
      <c r="Q22" s="8">
        <f>Q6/Q8</f>
        <v/>
      </c>
      <c r="R22" s="8">
        <f>R6/R8</f>
        <v/>
      </c>
    </row>
    <row r="23">
      <c r="A23" s="5" t="inlineStr">
        <is>
          <t>Other markets</t>
        </is>
      </c>
      <c r="B23" s="8">
        <f>B7/B8</f>
        <v/>
      </c>
      <c r="C23" s="8">
        <f>C7/C8</f>
        <v/>
      </c>
      <c r="D23" s="8">
        <f>D7/D8</f>
        <v/>
      </c>
      <c r="E23" s="8">
        <f>E7/E8</f>
        <v/>
      </c>
      <c r="F23" s="8">
        <f>F7/F8</f>
        <v/>
      </c>
      <c r="G23" s="8">
        <f>G7/G8</f>
        <v/>
      </c>
      <c r="H23" s="8">
        <f>H7/H8</f>
        <v/>
      </c>
      <c r="I23" s="8">
        <f>I7/I8</f>
        <v/>
      </c>
      <c r="J23" s="8">
        <f>J7/J8</f>
        <v/>
      </c>
      <c r="K23" s="8">
        <f>K7/K8</f>
        <v/>
      </c>
      <c r="L23" s="8">
        <f>L7/L8</f>
        <v/>
      </c>
      <c r="M23" s="8">
        <f>M7/M8</f>
        <v/>
      </c>
      <c r="N23" s="8">
        <f>N7/N8</f>
        <v/>
      </c>
      <c r="O23" s="8">
        <f>O7/O8</f>
        <v/>
      </c>
      <c r="P23" s="8">
        <f>P7/P8</f>
        <v/>
      </c>
      <c r="Q23" s="8">
        <f>Q7/Q8</f>
        <v/>
      </c>
      <c r="R23" s="8">
        <f>R7/R8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4" customWidth="1" min="4" max="4"/>
    <col width="13" customWidth="1" min="5" max="5"/>
    <col width="20" customWidth="1" min="7" max="7"/>
    <col width="14" customWidth="1" min="8" max="8"/>
    <col width="56" customWidth="1" min="9" max="9"/>
  </cols>
  <sheetData>
    <row r="1">
      <c r="A1" s="1" t="inlineStr">
        <is>
          <t>BETA REGRESSION — stock returns on index returns</t>
        </is>
      </c>
    </row>
    <row r="2">
      <c r="A2" s="3" t="inlineStr">
        <is>
          <t>Blue columns are the price series. The beta is the slope of the fit, and R² says how much of the share's movement the index actually explains.</t>
        </is>
      </c>
    </row>
    <row r="3">
      <c r="A3" s="4" t="inlineStr">
        <is>
          <t>Date</t>
        </is>
      </c>
      <c r="B3" s="4" t="inlineStr">
        <is>
          <t>Stock price</t>
        </is>
      </c>
      <c r="C3" s="4" t="inlineStr">
        <is>
          <t>Stock return</t>
        </is>
      </c>
      <c r="D3" s="4" t="inlineStr">
        <is>
          <t>Index price</t>
        </is>
      </c>
      <c r="E3" s="4" t="inlineStr">
        <is>
          <t>Index return</t>
        </is>
      </c>
      <c r="G3" s="1" t="inlineStr">
        <is>
          <t>Regression output</t>
        </is>
      </c>
    </row>
    <row r="4">
      <c r="A4" s="23" t="inlineStr"/>
      <c r="B4" s="13" t="n">
        <v>928</v>
      </c>
      <c r="D4" s="12" t="n">
        <v>18500</v>
      </c>
      <c r="G4" s="2" t="inlineStr">
        <is>
          <t>Observations</t>
        </is>
      </c>
      <c r="H4" s="24">
        <f>COUNT(C5:C123)</f>
        <v/>
      </c>
      <c r="I4" s="7" t="inlineStr">
        <is>
          <t>120 weekly closes to 2026-10-16, regressed on the local index</t>
        </is>
      </c>
    </row>
    <row r="5">
      <c r="A5" s="23" t="inlineStr"/>
      <c r="B5" s="13" t="n">
        <v>935.13</v>
      </c>
      <c r="C5" s="25">
        <f>B5/B4-1</f>
        <v/>
      </c>
      <c r="D5" s="12" t="n">
        <v>18450.76</v>
      </c>
      <c r="E5" s="25">
        <f>D5/D4-1</f>
        <v/>
      </c>
      <c r="G5" s="2" t="inlineStr">
        <is>
          <t>Slope (raw beta)</t>
        </is>
      </c>
      <c r="H5" s="26">
        <f>SLOPE(C5:C123,E5:E123)</f>
        <v/>
      </c>
    </row>
    <row r="6">
      <c r="A6" s="23" t="inlineStr"/>
      <c r="B6" s="13" t="n">
        <v>926.6900000000001</v>
      </c>
      <c r="C6" s="25">
        <f>B6/B5-1</f>
        <v/>
      </c>
      <c r="D6" s="12" t="n">
        <v>18412.09</v>
      </c>
      <c r="E6" s="25">
        <f>D6/D5-1</f>
        <v/>
      </c>
      <c r="G6" s="2" t="inlineStr">
        <is>
          <t>Intercept (alpha)</t>
        </is>
      </c>
      <c r="H6" s="27">
        <f>INTERCEPT(C5:C123,E5:E123)</f>
        <v/>
      </c>
    </row>
    <row r="7">
      <c r="A7" s="23" t="inlineStr"/>
      <c r="B7" s="13" t="n">
        <v>906.05</v>
      </c>
      <c r="C7" s="25">
        <f>B7/B6-1</f>
        <v/>
      </c>
      <c r="D7" s="12" t="n">
        <v>18127.25</v>
      </c>
      <c r="E7" s="25">
        <f>D7/D6-1</f>
        <v/>
      </c>
      <c r="G7" s="2" t="inlineStr">
        <is>
          <t>R²</t>
        </is>
      </c>
      <c r="H7" s="28">
        <f>RSQ(C5:C123,E5:E123)</f>
        <v/>
      </c>
      <c r="I7" s="7" t="inlineStr">
        <is>
          <t>A low R² is a reason to lean on the peer-derived beta instead of this one</t>
        </is>
      </c>
    </row>
    <row r="8">
      <c r="A8" s="23" t="inlineStr"/>
      <c r="B8" s="13" t="n">
        <v>938.42</v>
      </c>
      <c r="C8" s="25">
        <f>B8/B7-1</f>
        <v/>
      </c>
      <c r="D8" s="12" t="n">
        <v>18550.09</v>
      </c>
      <c r="E8" s="25">
        <f>D8/D7-1</f>
        <v/>
      </c>
      <c r="G8" s="2" t="inlineStr">
        <is>
          <t>Frequency</t>
        </is>
      </c>
      <c r="H8" s="23" t="inlineStr">
        <is>
          <t>weekly</t>
        </is>
      </c>
    </row>
    <row r="9">
      <c r="A9" s="23" t="inlineStr"/>
      <c r="B9" s="13" t="n">
        <v>966.96</v>
      </c>
      <c r="C9" s="25">
        <f>B9/B8-1</f>
        <v/>
      </c>
      <c r="D9" s="12" t="n">
        <v>18956.35</v>
      </c>
      <c r="E9" s="25">
        <f>D9/D8-1</f>
        <v/>
      </c>
    </row>
    <row r="10">
      <c r="A10" s="23" t="inlineStr"/>
      <c r="B10" s="13" t="n">
        <v>981.51</v>
      </c>
      <c r="C10" s="25">
        <f>B10/B9-1</f>
        <v/>
      </c>
      <c r="D10" s="12" t="n">
        <v>19140.24</v>
      </c>
      <c r="E10" s="25">
        <f>D10/D9-1</f>
        <v/>
      </c>
    </row>
    <row r="11">
      <c r="A11" s="23" t="inlineStr"/>
      <c r="B11" s="13" t="n">
        <v>965.89</v>
      </c>
      <c r="C11" s="25">
        <f>B11/B10-1</f>
        <v/>
      </c>
      <c r="D11" s="12" t="n">
        <v>18576.46</v>
      </c>
      <c r="E11" s="25">
        <f>D11/D10-1</f>
        <v/>
      </c>
    </row>
    <row r="12">
      <c r="A12" s="23" t="inlineStr"/>
      <c r="B12" s="13" t="n">
        <v>989.14</v>
      </c>
      <c r="C12" s="25">
        <f>B12/B11-1</f>
        <v/>
      </c>
      <c r="D12" s="12" t="n">
        <v>18796.06</v>
      </c>
      <c r="E12" s="25">
        <f>D12/D11-1</f>
        <v/>
      </c>
    </row>
    <row r="13">
      <c r="A13" s="23" t="inlineStr"/>
      <c r="B13" s="13" t="n">
        <v>918.87</v>
      </c>
      <c r="C13" s="25">
        <f>B13/B12-1</f>
        <v/>
      </c>
      <c r="D13" s="12" t="n">
        <v>18233.38</v>
      </c>
      <c r="E13" s="25">
        <f>D13/D12-1</f>
        <v/>
      </c>
    </row>
    <row r="14">
      <c r="A14" s="23" t="inlineStr"/>
      <c r="B14" s="13" t="n">
        <v>894.3</v>
      </c>
      <c r="C14" s="25">
        <f>B14/B13-1</f>
        <v/>
      </c>
      <c r="D14" s="12" t="n">
        <v>17965.3</v>
      </c>
      <c r="E14" s="25">
        <f>D14/D13-1</f>
        <v/>
      </c>
    </row>
    <row r="15">
      <c r="A15" s="23" t="inlineStr"/>
      <c r="B15" s="13" t="n">
        <v>901.66</v>
      </c>
      <c r="C15" s="25">
        <f>B15/B14-1</f>
        <v/>
      </c>
      <c r="D15" s="12" t="n">
        <v>18109.09</v>
      </c>
      <c r="E15" s="25">
        <f>D15/D14-1</f>
        <v/>
      </c>
    </row>
    <row r="16">
      <c r="A16" s="23" t="inlineStr"/>
      <c r="B16" s="13" t="n">
        <v>902.05</v>
      </c>
      <c r="C16" s="25">
        <f>B16/B15-1</f>
        <v/>
      </c>
      <c r="D16" s="12" t="n">
        <v>18328.18</v>
      </c>
      <c r="E16" s="25">
        <f>D16/D15-1</f>
        <v/>
      </c>
    </row>
    <row r="17">
      <c r="A17" s="23" t="inlineStr"/>
      <c r="B17" s="13" t="n">
        <v>917.88</v>
      </c>
      <c r="C17" s="25">
        <f>B17/B16-1</f>
        <v/>
      </c>
      <c r="D17" s="12" t="n">
        <v>18476</v>
      </c>
      <c r="E17" s="25">
        <f>D17/D16-1</f>
        <v/>
      </c>
    </row>
    <row r="18">
      <c r="A18" s="23" t="inlineStr"/>
      <c r="B18" s="13" t="n">
        <v>940.05</v>
      </c>
      <c r="C18" s="25">
        <f>B18/B17-1</f>
        <v/>
      </c>
      <c r="D18" s="12" t="n">
        <v>18284.56</v>
      </c>
      <c r="E18" s="25">
        <f>D18/D17-1</f>
        <v/>
      </c>
    </row>
    <row r="19">
      <c r="A19" s="23" t="inlineStr"/>
      <c r="B19" s="13" t="n">
        <v>977.49</v>
      </c>
      <c r="C19" s="25">
        <f>B19/B18-1</f>
        <v/>
      </c>
      <c r="D19" s="12" t="n">
        <v>18518.16</v>
      </c>
      <c r="E19" s="25">
        <f>D19/D18-1</f>
        <v/>
      </c>
    </row>
    <row r="20">
      <c r="A20" s="23" t="inlineStr"/>
      <c r="B20" s="13" t="n">
        <v>951.54</v>
      </c>
      <c r="C20" s="25">
        <f>B20/B19-1</f>
        <v/>
      </c>
      <c r="D20" s="12" t="n">
        <v>18340.64</v>
      </c>
      <c r="E20" s="25">
        <f>D20/D19-1</f>
        <v/>
      </c>
    </row>
    <row r="21">
      <c r="A21" s="23" t="inlineStr"/>
      <c r="B21" s="13" t="n">
        <v>944.66</v>
      </c>
      <c r="C21" s="25">
        <f>B21/B20-1</f>
        <v/>
      </c>
      <c r="D21" s="12" t="n">
        <v>18261.09</v>
      </c>
      <c r="E21" s="25">
        <f>D21/D20-1</f>
        <v/>
      </c>
    </row>
    <row r="22">
      <c r="A22" s="23" t="inlineStr"/>
      <c r="B22" s="13" t="n">
        <v>965.03</v>
      </c>
      <c r="C22" s="25">
        <f>B22/B21-1</f>
        <v/>
      </c>
      <c r="D22" s="12" t="n">
        <v>18520.58</v>
      </c>
      <c r="E22" s="25">
        <f>D22/D21-1</f>
        <v/>
      </c>
    </row>
    <row r="23">
      <c r="A23" s="23" t="inlineStr"/>
      <c r="B23" s="13" t="n">
        <v>938.65</v>
      </c>
      <c r="C23" s="25">
        <f>B23/B22-1</f>
        <v/>
      </c>
      <c r="D23" s="12" t="n">
        <v>18403.9</v>
      </c>
      <c r="E23" s="25">
        <f>D23/D22-1</f>
        <v/>
      </c>
    </row>
    <row r="24">
      <c r="A24" s="23" t="inlineStr"/>
      <c r="B24" s="13" t="n">
        <v>954.41</v>
      </c>
      <c r="C24" s="25">
        <f>B24/B23-1</f>
        <v/>
      </c>
      <c r="D24" s="12" t="n">
        <v>18262.35</v>
      </c>
      <c r="E24" s="25">
        <f>D24/D23-1</f>
        <v/>
      </c>
    </row>
    <row r="25">
      <c r="A25" s="23" t="inlineStr"/>
      <c r="B25" s="13" t="n">
        <v>944.88</v>
      </c>
      <c r="C25" s="25">
        <f>B25/B24-1</f>
        <v/>
      </c>
      <c r="D25" s="12" t="n">
        <v>18022.18</v>
      </c>
      <c r="E25" s="25">
        <f>D25/D24-1</f>
        <v/>
      </c>
    </row>
    <row r="26">
      <c r="A26" s="23" t="inlineStr"/>
      <c r="B26" s="13" t="n">
        <v>926.52</v>
      </c>
      <c r="C26" s="25">
        <f>B26/B25-1</f>
        <v/>
      </c>
      <c r="D26" s="12" t="n">
        <v>18207.88</v>
      </c>
      <c r="E26" s="25">
        <f>D26/D25-1</f>
        <v/>
      </c>
    </row>
    <row r="27">
      <c r="A27" s="23" t="inlineStr"/>
      <c r="B27" s="13" t="n">
        <v>955.26</v>
      </c>
      <c r="C27" s="25">
        <f>B27/B26-1</f>
        <v/>
      </c>
      <c r="D27" s="12" t="n">
        <v>18264.71</v>
      </c>
      <c r="E27" s="25">
        <f>D27/D26-1</f>
        <v/>
      </c>
    </row>
    <row r="28">
      <c r="A28" s="23" t="inlineStr"/>
      <c r="B28" s="13" t="n">
        <v>909.1799999999999</v>
      </c>
      <c r="C28" s="25">
        <f>B28/B27-1</f>
        <v/>
      </c>
      <c r="D28" s="12" t="n">
        <v>17605.85</v>
      </c>
      <c r="E28" s="25">
        <f>D28/D27-1</f>
        <v/>
      </c>
    </row>
    <row r="29">
      <c r="A29" s="23" t="inlineStr"/>
      <c r="B29" s="13" t="n">
        <v>893.77</v>
      </c>
      <c r="C29" s="25">
        <f>B29/B28-1</f>
        <v/>
      </c>
      <c r="D29" s="12" t="n">
        <v>17609.08</v>
      </c>
      <c r="E29" s="25">
        <f>D29/D28-1</f>
        <v/>
      </c>
    </row>
    <row r="30">
      <c r="A30" s="23" t="inlineStr"/>
      <c r="B30" s="13" t="n">
        <v>904.5700000000001</v>
      </c>
      <c r="C30" s="25">
        <f>B30/B29-1</f>
        <v/>
      </c>
      <c r="D30" s="12" t="n">
        <v>17814.23</v>
      </c>
      <c r="E30" s="25">
        <f>D30/D29-1</f>
        <v/>
      </c>
    </row>
    <row r="31">
      <c r="A31" s="23" t="inlineStr"/>
      <c r="B31" s="13" t="n">
        <v>893.64</v>
      </c>
      <c r="C31" s="25">
        <f>B31/B30-1</f>
        <v/>
      </c>
      <c r="D31" s="12" t="n">
        <v>17357.68</v>
      </c>
      <c r="E31" s="25">
        <f>D31/D30-1</f>
        <v/>
      </c>
    </row>
    <row r="32">
      <c r="A32" s="23" t="inlineStr"/>
      <c r="B32" s="13" t="n">
        <v>926.72</v>
      </c>
      <c r="C32" s="25">
        <f>B32/B31-1</f>
        <v/>
      </c>
      <c r="D32" s="12" t="n">
        <v>17616.61</v>
      </c>
      <c r="E32" s="25">
        <f>D32/D31-1</f>
        <v/>
      </c>
    </row>
    <row r="33">
      <c r="A33" s="23" t="inlineStr"/>
      <c r="B33" s="13" t="n">
        <v>965.28</v>
      </c>
      <c r="C33" s="25">
        <f>B33/B32-1</f>
        <v/>
      </c>
      <c r="D33" s="12" t="n">
        <v>18137.56</v>
      </c>
      <c r="E33" s="25">
        <f>D33/D32-1</f>
        <v/>
      </c>
    </row>
    <row r="34">
      <c r="A34" s="23" t="inlineStr"/>
      <c r="B34" s="13" t="n">
        <v>943.91</v>
      </c>
      <c r="C34" s="25">
        <f>B34/B33-1</f>
        <v/>
      </c>
      <c r="D34" s="12" t="n">
        <v>18218.56</v>
      </c>
      <c r="E34" s="25">
        <f>D34/D33-1</f>
        <v/>
      </c>
    </row>
    <row r="35">
      <c r="A35" s="23" t="inlineStr"/>
      <c r="B35" s="13" t="n">
        <v>946.86</v>
      </c>
      <c r="C35" s="25">
        <f>B35/B34-1</f>
        <v/>
      </c>
      <c r="D35" s="12" t="n">
        <v>18471.68</v>
      </c>
      <c r="E35" s="25">
        <f>D35/D34-1</f>
        <v/>
      </c>
    </row>
    <row r="36">
      <c r="A36" s="23" t="inlineStr"/>
      <c r="B36" s="13" t="n">
        <v>914.74</v>
      </c>
      <c r="C36" s="25">
        <f>B36/B35-1</f>
        <v/>
      </c>
      <c r="D36" s="12" t="n">
        <v>18353.44</v>
      </c>
      <c r="E36" s="25">
        <f>D36/D35-1</f>
        <v/>
      </c>
    </row>
    <row r="37">
      <c r="A37" s="23" t="inlineStr"/>
      <c r="B37" s="13" t="n">
        <v>887.51</v>
      </c>
      <c r="C37" s="25">
        <f>B37/B36-1</f>
        <v/>
      </c>
      <c r="D37" s="12" t="n">
        <v>18056.39</v>
      </c>
      <c r="E37" s="25">
        <f>D37/D36-1</f>
        <v/>
      </c>
    </row>
    <row r="38">
      <c r="A38" s="23" t="inlineStr"/>
      <c r="B38" s="13" t="n">
        <v>876.88</v>
      </c>
      <c r="C38" s="25">
        <f>B38/B37-1</f>
        <v/>
      </c>
      <c r="D38" s="12" t="n">
        <v>18538.28</v>
      </c>
      <c r="E38" s="25">
        <f>D38/D37-1</f>
        <v/>
      </c>
    </row>
    <row r="39">
      <c r="A39" s="23" t="inlineStr"/>
      <c r="B39" s="13" t="n">
        <v>855.58</v>
      </c>
      <c r="C39" s="25">
        <f>B39/B38-1</f>
        <v/>
      </c>
      <c r="D39" s="12" t="n">
        <v>18065.62</v>
      </c>
      <c r="E39" s="25">
        <f>D39/D38-1</f>
        <v/>
      </c>
    </row>
    <row r="40">
      <c r="A40" s="23" t="inlineStr"/>
      <c r="B40" s="13" t="n">
        <v>895.12</v>
      </c>
      <c r="C40" s="25">
        <f>B40/B39-1</f>
        <v/>
      </c>
      <c r="D40" s="12" t="n">
        <v>18600.79</v>
      </c>
      <c r="E40" s="25">
        <f>D40/D39-1</f>
        <v/>
      </c>
    </row>
    <row r="41">
      <c r="A41" s="23" t="inlineStr"/>
      <c r="B41" s="13" t="n">
        <v>812.89</v>
      </c>
      <c r="C41" s="25">
        <f>B41/B40-1</f>
        <v/>
      </c>
      <c r="D41" s="12" t="n">
        <v>17970.24</v>
      </c>
      <c r="E41" s="25">
        <f>D41/D40-1</f>
        <v/>
      </c>
    </row>
    <row r="42">
      <c r="A42" s="23" t="inlineStr"/>
      <c r="B42" s="13" t="n">
        <v>808.73</v>
      </c>
      <c r="C42" s="25">
        <f>B42/B41-1</f>
        <v/>
      </c>
      <c r="D42" s="12" t="n">
        <v>18131.81</v>
      </c>
      <c r="E42" s="25">
        <f>D42/D41-1</f>
        <v/>
      </c>
    </row>
    <row r="43">
      <c r="A43" s="23" t="inlineStr"/>
      <c r="B43" s="13" t="n">
        <v>807.58</v>
      </c>
      <c r="C43" s="25">
        <f>B43/B42-1</f>
        <v/>
      </c>
      <c r="D43" s="12" t="n">
        <v>17785.92</v>
      </c>
      <c r="E43" s="25">
        <f>D43/D42-1</f>
        <v/>
      </c>
    </row>
    <row r="44">
      <c r="A44" s="23" t="inlineStr"/>
      <c r="B44" s="13" t="n">
        <v>831.73</v>
      </c>
      <c r="C44" s="25">
        <f>B44/B43-1</f>
        <v/>
      </c>
      <c r="D44" s="12" t="n">
        <v>18197.38</v>
      </c>
      <c r="E44" s="25">
        <f>D44/D43-1</f>
        <v/>
      </c>
    </row>
    <row r="45">
      <c r="A45" s="23" t="inlineStr"/>
      <c r="B45" s="13" t="n">
        <v>845.89</v>
      </c>
      <c r="C45" s="25">
        <f>B45/B44-1</f>
        <v/>
      </c>
      <c r="D45" s="12" t="n">
        <v>18322.39</v>
      </c>
      <c r="E45" s="25">
        <f>D45/D44-1</f>
        <v/>
      </c>
    </row>
    <row r="46">
      <c r="A46" s="23" t="inlineStr"/>
      <c r="B46" s="13" t="n">
        <v>888.49</v>
      </c>
      <c r="C46" s="25">
        <f>B46/B45-1</f>
        <v/>
      </c>
      <c r="D46" s="12" t="n">
        <v>18917.62</v>
      </c>
      <c r="E46" s="25">
        <f>D46/D45-1</f>
        <v/>
      </c>
    </row>
    <row r="47">
      <c r="A47" s="23" t="inlineStr"/>
      <c r="B47" s="13" t="n">
        <v>911.03</v>
      </c>
      <c r="C47" s="25">
        <f>B47/B46-1</f>
        <v/>
      </c>
      <c r="D47" s="12" t="n">
        <v>19145.66</v>
      </c>
      <c r="E47" s="25">
        <f>D47/D46-1</f>
        <v/>
      </c>
    </row>
    <row r="48">
      <c r="A48" s="23" t="inlineStr"/>
      <c r="B48" s="13" t="n">
        <v>906.63</v>
      </c>
      <c r="C48" s="25">
        <f>B48/B47-1</f>
        <v/>
      </c>
      <c r="D48" s="12" t="n">
        <v>18617.28</v>
      </c>
      <c r="E48" s="25">
        <f>D48/D47-1</f>
        <v/>
      </c>
    </row>
    <row r="49">
      <c r="A49" s="23" t="inlineStr"/>
      <c r="B49" s="13" t="n">
        <v>937.9299999999999</v>
      </c>
      <c r="C49" s="25">
        <f>B49/B48-1</f>
        <v/>
      </c>
      <c r="D49" s="12" t="n">
        <v>18996.08</v>
      </c>
      <c r="E49" s="25">
        <f>D49/D48-1</f>
        <v/>
      </c>
    </row>
    <row r="50">
      <c r="A50" s="23" t="inlineStr"/>
      <c r="B50" s="13" t="n">
        <v>887.37</v>
      </c>
      <c r="C50" s="25">
        <f>B50/B49-1</f>
        <v/>
      </c>
      <c r="D50" s="12" t="n">
        <v>18325.45</v>
      </c>
      <c r="E50" s="25">
        <f>D50/D49-1</f>
        <v/>
      </c>
    </row>
    <row r="51">
      <c r="A51" s="23" t="inlineStr"/>
      <c r="B51" s="13" t="n">
        <v>872.2</v>
      </c>
      <c r="C51" s="25">
        <f>B51/B50-1</f>
        <v/>
      </c>
      <c r="D51" s="12" t="n">
        <v>18659.04</v>
      </c>
      <c r="E51" s="25">
        <f>D51/D50-1</f>
        <v/>
      </c>
    </row>
    <row r="52">
      <c r="A52" s="23" t="inlineStr"/>
      <c r="B52" s="13" t="n">
        <v>889.5700000000001</v>
      </c>
      <c r="C52" s="25">
        <f>B52/B51-1</f>
        <v/>
      </c>
      <c r="D52" s="12" t="n">
        <v>18634.85</v>
      </c>
      <c r="E52" s="25">
        <f>D52/D51-1</f>
        <v/>
      </c>
    </row>
    <row r="53">
      <c r="A53" s="23" t="inlineStr"/>
      <c r="B53" s="13" t="n">
        <v>896.41</v>
      </c>
      <c r="C53" s="25">
        <f>B53/B52-1</f>
        <v/>
      </c>
      <c r="D53" s="12" t="n">
        <v>18211.61</v>
      </c>
      <c r="E53" s="25">
        <f>D53/D52-1</f>
        <v/>
      </c>
    </row>
    <row r="54">
      <c r="A54" s="23" t="inlineStr"/>
      <c r="B54" s="13" t="n">
        <v>906.67</v>
      </c>
      <c r="C54" s="25">
        <f>B54/B53-1</f>
        <v/>
      </c>
      <c r="D54" s="12" t="n">
        <v>18442.66</v>
      </c>
      <c r="E54" s="25">
        <f>D54/D53-1</f>
        <v/>
      </c>
    </row>
    <row r="55">
      <c r="A55" s="23" t="inlineStr"/>
      <c r="B55" s="13" t="n">
        <v>927.77</v>
      </c>
      <c r="C55" s="25">
        <f>B55/B54-1</f>
        <v/>
      </c>
      <c r="D55" s="12" t="n">
        <v>18597.07</v>
      </c>
      <c r="E55" s="25">
        <f>D55/D54-1</f>
        <v/>
      </c>
    </row>
    <row r="56">
      <c r="A56" s="23" t="inlineStr"/>
      <c r="B56" s="13" t="n">
        <v>954.88</v>
      </c>
      <c r="C56" s="25">
        <f>B56/B55-1</f>
        <v/>
      </c>
      <c r="D56" s="12" t="n">
        <v>18680.53</v>
      </c>
      <c r="E56" s="25">
        <f>D56/D55-1</f>
        <v/>
      </c>
    </row>
    <row r="57">
      <c r="A57" s="23" t="inlineStr"/>
      <c r="B57" s="13" t="n">
        <v>935.17</v>
      </c>
      <c r="C57" s="25">
        <f>B57/B56-1</f>
        <v/>
      </c>
      <c r="D57" s="12" t="n">
        <v>18486.82</v>
      </c>
      <c r="E57" s="25">
        <f>D57/D56-1</f>
        <v/>
      </c>
    </row>
    <row r="58">
      <c r="A58" s="23" t="inlineStr"/>
      <c r="B58" s="13" t="n">
        <v>959.35</v>
      </c>
      <c r="C58" s="25">
        <f>B58/B57-1</f>
        <v/>
      </c>
      <c r="D58" s="12" t="n">
        <v>18893.39</v>
      </c>
      <c r="E58" s="25">
        <f>D58/D57-1</f>
        <v/>
      </c>
    </row>
    <row r="59">
      <c r="A59" s="23" t="inlineStr"/>
      <c r="B59" s="13" t="n">
        <v>962.39</v>
      </c>
      <c r="C59" s="25">
        <f>B59/B58-1</f>
        <v/>
      </c>
      <c r="D59" s="12" t="n">
        <v>18618.89</v>
      </c>
      <c r="E59" s="25">
        <f>D59/D58-1</f>
        <v/>
      </c>
    </row>
    <row r="60">
      <c r="A60" s="23" t="inlineStr"/>
      <c r="B60" s="13" t="n">
        <v>986.65</v>
      </c>
      <c r="C60" s="25">
        <f>B60/B59-1</f>
        <v/>
      </c>
      <c r="D60" s="12" t="n">
        <v>19178.28</v>
      </c>
      <c r="E60" s="25">
        <f>D60/D59-1</f>
        <v/>
      </c>
    </row>
    <row r="61">
      <c r="A61" s="23" t="inlineStr"/>
      <c r="B61" s="13" t="n">
        <v>956.61</v>
      </c>
      <c r="C61" s="25">
        <f>B61/B60-1</f>
        <v/>
      </c>
      <c r="D61" s="12" t="n">
        <v>18717.62</v>
      </c>
      <c r="E61" s="25">
        <f>D61/D60-1</f>
        <v/>
      </c>
    </row>
    <row r="62">
      <c r="A62" s="23" t="inlineStr"/>
      <c r="B62" s="13" t="n">
        <v>949.9299999999999</v>
      </c>
      <c r="C62" s="25">
        <f>B62/B61-1</f>
        <v/>
      </c>
      <c r="D62" s="12" t="n">
        <v>18705.8</v>
      </c>
      <c r="E62" s="25">
        <f>D62/D61-1</f>
        <v/>
      </c>
    </row>
    <row r="63">
      <c r="A63" s="23" t="inlineStr"/>
      <c r="B63" s="13" t="n">
        <v>961</v>
      </c>
      <c r="C63" s="25">
        <f>B63/B62-1</f>
        <v/>
      </c>
      <c r="D63" s="12" t="n">
        <v>19246.23</v>
      </c>
      <c r="E63" s="25">
        <f>D63/D62-1</f>
        <v/>
      </c>
    </row>
    <row r="64">
      <c r="A64" s="23" t="inlineStr"/>
      <c r="B64" s="13" t="n">
        <v>964.3099999999999</v>
      </c>
      <c r="C64" s="25">
        <f>B64/B63-1</f>
        <v/>
      </c>
      <c r="D64" s="12" t="n">
        <v>19749.54</v>
      </c>
      <c r="E64" s="25">
        <f>D64/D63-1</f>
        <v/>
      </c>
    </row>
    <row r="65">
      <c r="A65" s="23" t="inlineStr"/>
      <c r="B65" s="13" t="n">
        <v>962.95</v>
      </c>
      <c r="C65" s="25">
        <f>B65/B64-1</f>
        <v/>
      </c>
      <c r="D65" s="12" t="n">
        <v>19497.66</v>
      </c>
      <c r="E65" s="25">
        <f>D65/D64-1</f>
        <v/>
      </c>
    </row>
    <row r="66">
      <c r="A66" s="23" t="inlineStr"/>
      <c r="B66" s="13" t="n">
        <v>1006.51</v>
      </c>
      <c r="C66" s="25">
        <f>B66/B65-1</f>
        <v/>
      </c>
      <c r="D66" s="12" t="n">
        <v>19958.68</v>
      </c>
      <c r="E66" s="25">
        <f>D66/D65-1</f>
        <v/>
      </c>
    </row>
    <row r="67">
      <c r="A67" s="23" t="inlineStr"/>
      <c r="B67" s="13" t="n">
        <v>1019.65</v>
      </c>
      <c r="C67" s="25">
        <f>B67/B66-1</f>
        <v/>
      </c>
      <c r="D67" s="12" t="n">
        <v>20133.5</v>
      </c>
      <c r="E67" s="25">
        <f>D67/D66-1</f>
        <v/>
      </c>
    </row>
    <row r="68">
      <c r="A68" s="23" t="inlineStr"/>
      <c r="B68" s="13" t="n">
        <v>1037.95</v>
      </c>
      <c r="C68" s="25">
        <f>B68/B67-1</f>
        <v/>
      </c>
      <c r="D68" s="12" t="n">
        <v>20236.13</v>
      </c>
      <c r="E68" s="25">
        <f>D68/D67-1</f>
        <v/>
      </c>
    </row>
    <row r="69">
      <c r="A69" s="23" t="inlineStr"/>
      <c r="B69" s="13" t="n">
        <v>1042.63</v>
      </c>
      <c r="C69" s="25">
        <f>B69/B68-1</f>
        <v/>
      </c>
      <c r="D69" s="12" t="n">
        <v>20212.9</v>
      </c>
      <c r="E69" s="25">
        <f>D69/D68-1</f>
        <v/>
      </c>
    </row>
    <row r="70">
      <c r="A70" s="23" t="inlineStr"/>
      <c r="B70" s="13" t="n">
        <v>1058.33</v>
      </c>
      <c r="C70" s="25">
        <f>B70/B69-1</f>
        <v/>
      </c>
      <c r="D70" s="12" t="n">
        <v>20477.32</v>
      </c>
      <c r="E70" s="25">
        <f>D70/D69-1</f>
        <v/>
      </c>
    </row>
    <row r="71">
      <c r="A71" s="23" t="inlineStr"/>
      <c r="B71" s="13" t="n">
        <v>1091.25</v>
      </c>
      <c r="C71" s="25">
        <f>B71/B70-1</f>
        <v/>
      </c>
      <c r="D71" s="12" t="n">
        <v>20819.62</v>
      </c>
      <c r="E71" s="25">
        <f>D71/D70-1</f>
        <v/>
      </c>
    </row>
    <row r="72">
      <c r="A72" s="23" t="inlineStr"/>
      <c r="B72" s="13" t="n">
        <v>1149.4</v>
      </c>
      <c r="C72" s="25">
        <f>B72/B71-1</f>
        <v/>
      </c>
      <c r="D72" s="12" t="n">
        <v>21660.77</v>
      </c>
      <c r="E72" s="25">
        <f>D72/D71-1</f>
        <v/>
      </c>
    </row>
    <row r="73">
      <c r="A73" s="23" t="inlineStr"/>
      <c r="B73" s="13" t="n">
        <v>1132.58</v>
      </c>
      <c r="C73" s="25">
        <f>B73/B72-1</f>
        <v/>
      </c>
      <c r="D73" s="12" t="n">
        <v>21532.45</v>
      </c>
      <c r="E73" s="25">
        <f>D73/D72-1</f>
        <v/>
      </c>
    </row>
    <row r="74">
      <c r="A74" s="23" t="inlineStr"/>
      <c r="B74" s="13" t="n">
        <v>1157.09</v>
      </c>
      <c r="C74" s="25">
        <f>B74/B73-1</f>
        <v/>
      </c>
      <c r="D74" s="12" t="n">
        <v>21574.46</v>
      </c>
      <c r="E74" s="25">
        <f>D74/D73-1</f>
        <v/>
      </c>
    </row>
    <row r="75">
      <c r="A75" s="23" t="inlineStr"/>
      <c r="B75" s="13" t="n">
        <v>1160.88</v>
      </c>
      <c r="C75" s="25">
        <f>B75/B74-1</f>
        <v/>
      </c>
      <c r="D75" s="12" t="n">
        <v>21483.96</v>
      </c>
      <c r="E75" s="25">
        <f>D75/D74-1</f>
        <v/>
      </c>
    </row>
    <row r="76">
      <c r="A76" s="23" t="inlineStr"/>
      <c r="B76" s="13" t="n">
        <v>1147.9</v>
      </c>
      <c r="C76" s="25">
        <f>B76/B75-1</f>
        <v/>
      </c>
      <c r="D76" s="12" t="n">
        <v>22281.2</v>
      </c>
      <c r="E76" s="25">
        <f>D76/D75-1</f>
        <v/>
      </c>
    </row>
    <row r="77">
      <c r="A77" s="23" t="inlineStr"/>
      <c r="B77" s="13" t="n">
        <v>1128.49</v>
      </c>
      <c r="C77" s="25">
        <f>B77/B76-1</f>
        <v/>
      </c>
      <c r="D77" s="12" t="n">
        <v>21854.42</v>
      </c>
      <c r="E77" s="25">
        <f>D77/D76-1</f>
        <v/>
      </c>
    </row>
    <row r="78">
      <c r="A78" s="23" t="inlineStr"/>
      <c r="B78" s="13" t="n">
        <v>1146.82</v>
      </c>
      <c r="C78" s="25">
        <f>B78/B77-1</f>
        <v/>
      </c>
      <c r="D78" s="12" t="n">
        <v>22067.9</v>
      </c>
      <c r="E78" s="25">
        <f>D78/D77-1</f>
        <v/>
      </c>
    </row>
    <row r="79">
      <c r="A79" s="23" t="inlineStr"/>
      <c r="B79" s="13" t="n">
        <v>1154.7</v>
      </c>
      <c r="C79" s="25">
        <f>B79/B78-1</f>
        <v/>
      </c>
      <c r="D79" s="12" t="n">
        <v>21935.67</v>
      </c>
      <c r="E79" s="25">
        <f>D79/D78-1</f>
        <v/>
      </c>
    </row>
    <row r="80">
      <c r="A80" s="23" t="inlineStr"/>
      <c r="B80" s="13" t="n">
        <v>1152.08</v>
      </c>
      <c r="C80" s="25">
        <f>B80/B79-1</f>
        <v/>
      </c>
      <c r="D80" s="12" t="n">
        <v>22101.52</v>
      </c>
      <c r="E80" s="25">
        <f>D80/D79-1</f>
        <v/>
      </c>
    </row>
    <row r="81">
      <c r="A81" s="23" t="inlineStr"/>
      <c r="B81" s="13" t="n">
        <v>1224.76</v>
      </c>
      <c r="C81" s="25">
        <f>B81/B80-1</f>
        <v/>
      </c>
      <c r="D81" s="12" t="n">
        <v>23170.59</v>
      </c>
      <c r="E81" s="25">
        <f>D81/D80-1</f>
        <v/>
      </c>
    </row>
    <row r="82">
      <c r="A82" s="23" t="inlineStr"/>
      <c r="B82" s="13" t="n">
        <v>1210.47</v>
      </c>
      <c r="C82" s="25">
        <f>B82/B81-1</f>
        <v/>
      </c>
      <c r="D82" s="12" t="n">
        <v>22977.57</v>
      </c>
      <c r="E82" s="25">
        <f>D82/D81-1</f>
        <v/>
      </c>
    </row>
    <row r="83">
      <c r="A83" s="23" t="inlineStr"/>
      <c r="B83" s="13" t="n">
        <v>1205.97</v>
      </c>
      <c r="C83" s="25">
        <f>B83/B82-1</f>
        <v/>
      </c>
      <c r="D83" s="12" t="n">
        <v>22929.63</v>
      </c>
      <c r="E83" s="25">
        <f>D83/D82-1</f>
        <v/>
      </c>
    </row>
    <row r="84">
      <c r="A84" s="23" t="inlineStr"/>
      <c r="B84" s="13" t="n">
        <v>1124.8</v>
      </c>
      <c r="C84" s="25">
        <f>B84/B83-1</f>
        <v/>
      </c>
      <c r="D84" s="12" t="n">
        <v>21791.55</v>
      </c>
      <c r="E84" s="25">
        <f>D84/D83-1</f>
        <v/>
      </c>
    </row>
    <row r="85">
      <c r="A85" s="23" t="inlineStr"/>
      <c r="B85" s="13" t="n">
        <v>1124.83</v>
      </c>
      <c r="C85" s="25">
        <f>B85/B84-1</f>
        <v/>
      </c>
      <c r="D85" s="12" t="n">
        <v>22257.08</v>
      </c>
      <c r="E85" s="25">
        <f>D85/D84-1</f>
        <v/>
      </c>
    </row>
    <row r="86">
      <c r="A86" s="23" t="inlineStr"/>
      <c r="B86" s="13" t="n">
        <v>1148.56</v>
      </c>
      <c r="C86" s="25">
        <f>B86/B85-1</f>
        <v/>
      </c>
      <c r="D86" s="12" t="n">
        <v>22277.84</v>
      </c>
      <c r="E86" s="25">
        <f>D86/D85-1</f>
        <v/>
      </c>
    </row>
    <row r="87">
      <c r="A87" s="23" t="inlineStr"/>
      <c r="B87" s="13" t="n">
        <v>1208.92</v>
      </c>
      <c r="C87" s="25">
        <f>B87/B86-1</f>
        <v/>
      </c>
      <c r="D87" s="12" t="n">
        <v>22689.25</v>
      </c>
      <c r="E87" s="25">
        <f>D87/D86-1</f>
        <v/>
      </c>
    </row>
    <row r="88">
      <c r="A88" s="23" t="inlineStr"/>
      <c r="B88" s="13" t="n">
        <v>1158.06</v>
      </c>
      <c r="C88" s="25">
        <f>B88/B87-1</f>
        <v/>
      </c>
      <c r="D88" s="12" t="n">
        <v>22005.7</v>
      </c>
      <c r="E88" s="25">
        <f>D88/D87-1</f>
        <v/>
      </c>
    </row>
    <row r="89">
      <c r="A89" s="23" t="inlineStr"/>
      <c r="B89" s="13" t="n">
        <v>1167.53</v>
      </c>
      <c r="C89" s="25">
        <f>B89/B88-1</f>
        <v/>
      </c>
      <c r="D89" s="12" t="n">
        <v>21911.56</v>
      </c>
      <c r="E89" s="25">
        <f>D89/D88-1</f>
        <v/>
      </c>
    </row>
    <row r="90">
      <c r="A90" s="23" t="inlineStr"/>
      <c r="B90" s="13" t="n">
        <v>1132.55</v>
      </c>
      <c r="C90" s="25">
        <f>B90/B89-1</f>
        <v/>
      </c>
      <c r="D90" s="12" t="n">
        <v>22414.29</v>
      </c>
      <c r="E90" s="25">
        <f>D90/D89-1</f>
        <v/>
      </c>
    </row>
    <row r="91">
      <c r="A91" s="23" t="inlineStr"/>
      <c r="B91" s="13" t="n">
        <v>1127.93</v>
      </c>
      <c r="C91" s="25">
        <f>B91/B90-1</f>
        <v/>
      </c>
      <c r="D91" s="12" t="n">
        <v>22927.24</v>
      </c>
      <c r="E91" s="25">
        <f>D91/D90-1</f>
        <v/>
      </c>
    </row>
    <row r="92">
      <c r="A92" s="23" t="inlineStr"/>
      <c r="B92" s="13" t="n">
        <v>1112.28</v>
      </c>
      <c r="C92" s="25">
        <f>B92/B91-1</f>
        <v/>
      </c>
      <c r="D92" s="12" t="n">
        <v>23275.27</v>
      </c>
      <c r="E92" s="25">
        <f>D92/D91-1</f>
        <v/>
      </c>
    </row>
    <row r="93">
      <c r="A93" s="23" t="inlineStr"/>
      <c r="B93" s="13" t="n">
        <v>1147.27</v>
      </c>
      <c r="C93" s="25">
        <f>B93/B92-1</f>
        <v/>
      </c>
      <c r="D93" s="12" t="n">
        <v>23404.25</v>
      </c>
      <c r="E93" s="25">
        <f>D93/D92-1</f>
        <v/>
      </c>
    </row>
    <row r="94">
      <c r="A94" s="23" t="inlineStr"/>
      <c r="B94" s="13" t="n">
        <v>1151.03</v>
      </c>
      <c r="C94" s="25">
        <f>B94/B93-1</f>
        <v/>
      </c>
      <c r="D94" s="12" t="n">
        <v>23389.34</v>
      </c>
      <c r="E94" s="25">
        <f>D94/D93-1</f>
        <v/>
      </c>
    </row>
    <row r="95">
      <c r="A95" s="23" t="inlineStr"/>
      <c r="B95" s="13" t="n">
        <v>1177.41</v>
      </c>
      <c r="C95" s="25">
        <f>B95/B94-1</f>
        <v/>
      </c>
      <c r="D95" s="12" t="n">
        <v>23795.03</v>
      </c>
      <c r="E95" s="25">
        <f>D95/D94-1</f>
        <v/>
      </c>
    </row>
    <row r="96">
      <c r="A96" s="23" t="inlineStr"/>
      <c r="B96" s="13" t="n">
        <v>1216.02</v>
      </c>
      <c r="C96" s="25">
        <f>B96/B95-1</f>
        <v/>
      </c>
      <c r="D96" s="12" t="n">
        <v>23807.38</v>
      </c>
      <c r="E96" s="25">
        <f>D96/D95-1</f>
        <v/>
      </c>
    </row>
    <row r="97">
      <c r="A97" s="23" t="inlineStr"/>
      <c r="B97" s="13" t="n">
        <v>1239.46</v>
      </c>
      <c r="C97" s="25">
        <f>B97/B96-1</f>
        <v/>
      </c>
      <c r="D97" s="12" t="n">
        <v>24334.02</v>
      </c>
      <c r="E97" s="25">
        <f>D97/D96-1</f>
        <v/>
      </c>
    </row>
    <row r="98">
      <c r="A98" s="23" t="inlineStr"/>
      <c r="B98" s="13" t="n">
        <v>1287.09</v>
      </c>
      <c r="C98" s="25">
        <f>B98/B97-1</f>
        <v/>
      </c>
      <c r="D98" s="12" t="n">
        <v>25656.85</v>
      </c>
      <c r="E98" s="25">
        <f>D98/D97-1</f>
        <v/>
      </c>
    </row>
    <row r="99">
      <c r="A99" s="23" t="inlineStr"/>
      <c r="B99" s="13" t="n">
        <v>1308.89</v>
      </c>
      <c r="C99" s="25">
        <f>B99/B98-1</f>
        <v/>
      </c>
      <c r="D99" s="12" t="n">
        <v>26159.15</v>
      </c>
      <c r="E99" s="25">
        <f>D99/D98-1</f>
        <v/>
      </c>
    </row>
    <row r="100">
      <c r="A100" s="23" t="inlineStr"/>
      <c r="B100" s="13" t="n">
        <v>1335.36</v>
      </c>
      <c r="C100" s="25">
        <f>B100/B99-1</f>
        <v/>
      </c>
      <c r="D100" s="12" t="n">
        <v>26282.49</v>
      </c>
      <c r="E100" s="25">
        <f>D100/D99-1</f>
        <v/>
      </c>
    </row>
    <row r="101">
      <c r="A101" s="23" t="inlineStr"/>
      <c r="B101" s="13" t="n">
        <v>1363.13</v>
      </c>
      <c r="C101" s="25">
        <f>B101/B100-1</f>
        <v/>
      </c>
      <c r="D101" s="12" t="n">
        <v>26451.28</v>
      </c>
      <c r="E101" s="25">
        <f>D101/D100-1</f>
        <v/>
      </c>
    </row>
    <row r="102">
      <c r="A102" s="23" t="inlineStr"/>
      <c r="B102" s="13" t="n">
        <v>1277.88</v>
      </c>
      <c r="C102" s="25">
        <f>B102/B101-1</f>
        <v/>
      </c>
      <c r="D102" s="12" t="n">
        <v>25741.88</v>
      </c>
      <c r="E102" s="25">
        <f>D102/D101-1</f>
        <v/>
      </c>
    </row>
    <row r="103">
      <c r="A103" s="23" t="inlineStr"/>
      <c r="B103" s="13" t="n">
        <v>1272.44</v>
      </c>
      <c r="C103" s="25">
        <f>B103/B102-1</f>
        <v/>
      </c>
      <c r="D103" s="12" t="n">
        <v>26099.27</v>
      </c>
      <c r="E103" s="25">
        <f>D103/D102-1</f>
        <v/>
      </c>
    </row>
    <row r="104">
      <c r="A104" s="23" t="inlineStr"/>
      <c r="B104" s="13" t="n">
        <v>1207.83</v>
      </c>
      <c r="C104" s="25">
        <f>B104/B103-1</f>
        <v/>
      </c>
      <c r="D104" s="12" t="n">
        <v>25647.59</v>
      </c>
      <c r="E104" s="25">
        <f>D104/D103-1</f>
        <v/>
      </c>
    </row>
    <row r="105">
      <c r="A105" s="23" t="inlineStr"/>
      <c r="B105" s="13" t="n">
        <v>1263.24</v>
      </c>
      <c r="C105" s="25">
        <f>B105/B104-1</f>
        <v/>
      </c>
      <c r="D105" s="12" t="n">
        <v>26321.13</v>
      </c>
      <c r="E105" s="25">
        <f>D105/D104-1</f>
        <v/>
      </c>
    </row>
    <row r="106">
      <c r="A106" s="23" t="inlineStr"/>
      <c r="B106" s="13" t="n">
        <v>1282.22</v>
      </c>
      <c r="C106" s="25">
        <f>B106/B105-1</f>
        <v/>
      </c>
      <c r="D106" s="12" t="n">
        <v>27115.72</v>
      </c>
      <c r="E106" s="25">
        <f>D106/D105-1</f>
        <v/>
      </c>
    </row>
    <row r="107">
      <c r="A107" s="23" t="inlineStr"/>
      <c r="B107" s="13" t="n">
        <v>1254.79</v>
      </c>
      <c r="C107" s="25">
        <f>B107/B106-1</f>
        <v/>
      </c>
      <c r="D107" s="12" t="n">
        <v>27175.89</v>
      </c>
      <c r="E107" s="25">
        <f>D107/D106-1</f>
        <v/>
      </c>
    </row>
    <row r="108">
      <c r="A108" s="23" t="inlineStr"/>
      <c r="B108" s="13" t="n">
        <v>1320.85</v>
      </c>
      <c r="C108" s="25">
        <f>B108/B107-1</f>
        <v/>
      </c>
      <c r="D108" s="12" t="n">
        <v>27631.22</v>
      </c>
      <c r="E108" s="25">
        <f>D108/D107-1</f>
        <v/>
      </c>
    </row>
    <row r="109">
      <c r="A109" s="23" t="inlineStr"/>
      <c r="B109" s="13" t="n">
        <v>1341.78</v>
      </c>
      <c r="C109" s="25">
        <f>B109/B108-1</f>
        <v/>
      </c>
      <c r="D109" s="12" t="n">
        <v>27224.65</v>
      </c>
      <c r="E109" s="25">
        <f>D109/D108-1</f>
        <v/>
      </c>
    </row>
    <row r="110">
      <c r="A110" s="23" t="inlineStr"/>
      <c r="B110" s="13" t="n">
        <v>1369.13</v>
      </c>
      <c r="C110" s="25">
        <f>B110/B109-1</f>
        <v/>
      </c>
      <c r="D110" s="12" t="n">
        <v>27795.62</v>
      </c>
      <c r="E110" s="25">
        <f>D110/D109-1</f>
        <v/>
      </c>
    </row>
    <row r="111">
      <c r="A111" s="23" t="inlineStr"/>
      <c r="B111" s="13" t="n">
        <v>1354.04</v>
      </c>
      <c r="C111" s="25">
        <f>B111/B110-1</f>
        <v/>
      </c>
      <c r="D111" s="12" t="n">
        <v>26815.34</v>
      </c>
      <c r="E111" s="25">
        <f>D111/D110-1</f>
        <v/>
      </c>
    </row>
    <row r="112">
      <c r="A112" s="23" t="inlineStr"/>
      <c r="B112" s="13" t="n">
        <v>1337.48</v>
      </c>
      <c r="C112" s="25">
        <f>B112/B111-1</f>
        <v/>
      </c>
      <c r="D112" s="12" t="n">
        <v>26825.29</v>
      </c>
      <c r="E112" s="25">
        <f>D112/D111-1</f>
        <v/>
      </c>
    </row>
    <row r="113">
      <c r="A113" s="23" t="inlineStr"/>
      <c r="B113" s="13" t="n">
        <v>1364.06</v>
      </c>
      <c r="C113" s="25">
        <f>B113/B112-1</f>
        <v/>
      </c>
      <c r="D113" s="12" t="n">
        <v>27087.97</v>
      </c>
      <c r="E113" s="25">
        <f>D113/D112-1</f>
        <v/>
      </c>
    </row>
    <row r="114">
      <c r="A114" s="23" t="inlineStr"/>
      <c r="B114" s="13" t="n">
        <v>1382.93</v>
      </c>
      <c r="C114" s="25">
        <f>B114/B113-1</f>
        <v/>
      </c>
      <c r="D114" s="12" t="n">
        <v>27918.59</v>
      </c>
      <c r="E114" s="25">
        <f>D114/D113-1</f>
        <v/>
      </c>
    </row>
    <row r="115">
      <c r="A115" s="23" t="inlineStr"/>
      <c r="B115" s="13" t="n">
        <v>1463.96</v>
      </c>
      <c r="C115" s="25">
        <f>B115/B114-1</f>
        <v/>
      </c>
      <c r="D115" s="12" t="n">
        <v>28582.73</v>
      </c>
      <c r="E115" s="25">
        <f>D115/D114-1</f>
        <v/>
      </c>
    </row>
    <row r="116">
      <c r="A116" s="23" t="inlineStr"/>
      <c r="B116" s="13" t="n">
        <v>1508.57</v>
      </c>
      <c r="C116" s="25">
        <f>B116/B115-1</f>
        <v/>
      </c>
      <c r="D116" s="12" t="n">
        <v>29434.28</v>
      </c>
      <c r="E116" s="25">
        <f>D116/D115-1</f>
        <v/>
      </c>
    </row>
    <row r="117">
      <c r="A117" s="23" t="inlineStr"/>
      <c r="B117" s="13" t="n">
        <v>1520.13</v>
      </c>
      <c r="C117" s="25">
        <f>B117/B116-1</f>
        <v/>
      </c>
      <c r="D117" s="12" t="n">
        <v>29082.94</v>
      </c>
      <c r="E117" s="25">
        <f>D117/D116-1</f>
        <v/>
      </c>
    </row>
    <row r="118">
      <c r="A118" s="23" t="inlineStr"/>
      <c r="B118" s="13" t="n">
        <v>1531.76</v>
      </c>
      <c r="C118" s="25">
        <f>B118/B117-1</f>
        <v/>
      </c>
      <c r="D118" s="12" t="n">
        <v>29210.57</v>
      </c>
      <c r="E118" s="25">
        <f>D118/D117-1</f>
        <v/>
      </c>
    </row>
    <row r="119">
      <c r="A119" s="23" t="inlineStr"/>
      <c r="B119" s="13" t="n">
        <v>1574.83</v>
      </c>
      <c r="C119" s="25">
        <f>B119/B118-1</f>
        <v/>
      </c>
      <c r="D119" s="12" t="n">
        <v>30065.27</v>
      </c>
      <c r="E119" s="25">
        <f>D119/D118-1</f>
        <v/>
      </c>
    </row>
    <row r="120">
      <c r="A120" s="23" t="inlineStr"/>
      <c r="B120" s="13" t="n">
        <v>1486.98</v>
      </c>
      <c r="C120" s="25">
        <f>B120/B119-1</f>
        <v/>
      </c>
      <c r="D120" s="12" t="n">
        <v>28819.43</v>
      </c>
      <c r="E120" s="25">
        <f>D120/D119-1</f>
        <v/>
      </c>
    </row>
    <row r="121">
      <c r="A121" s="23" t="inlineStr"/>
      <c r="B121" s="13" t="n">
        <v>1456.08</v>
      </c>
      <c r="C121" s="25">
        <f>B121/B120-1</f>
        <v/>
      </c>
      <c r="D121" s="12" t="n">
        <v>27867.69</v>
      </c>
      <c r="E121" s="25">
        <f>D121/D120-1</f>
        <v/>
      </c>
    </row>
    <row r="122">
      <c r="A122" s="23" t="inlineStr"/>
      <c r="B122" s="13" t="n">
        <v>1451.16</v>
      </c>
      <c r="C122" s="25">
        <f>B122/B121-1</f>
        <v/>
      </c>
      <c r="D122" s="12" t="n">
        <v>28096.86</v>
      </c>
      <c r="E122" s="25">
        <f>D122/D121-1</f>
        <v/>
      </c>
    </row>
    <row r="123">
      <c r="A123" s="23" t="inlineStr"/>
      <c r="B123" s="13" t="n">
        <v>1479.9</v>
      </c>
      <c r="C123" s="25">
        <f>B123/B122-1</f>
        <v/>
      </c>
      <c r="D123" s="12" t="n">
        <v>28153.55</v>
      </c>
      <c r="E123" s="25">
        <f>D123/D122-1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2" customWidth="1" min="4" max="4"/>
    <col width="10" customWidth="1" min="5" max="5"/>
    <col width="11" customWidth="1" min="6" max="6"/>
    <col width="13" customWidth="1" min="7" max="7"/>
    <col width="14" customWidth="1" min="8" max="8"/>
    <col width="54" customWidth="1" min="9" max="9"/>
  </cols>
  <sheetData>
    <row r="1">
      <c r="A1" s="1" t="inlineStr">
        <is>
          <t>WACC — derived, not asserted</t>
        </is>
      </c>
    </row>
    <row r="2">
      <c r="A2" s="3" t="inlineStr">
        <is>
          <t>Beta from a peer set and a regression; the equity risk premium from a market return history; the cost of debt from interest actually paid. Blue cells are the sourced inputs.</t>
        </is>
      </c>
    </row>
    <row r="4">
      <c r="A4" s="4" t="inlineStr">
        <is>
          <t>Peer</t>
        </is>
      </c>
      <c r="B4" s="4" t="inlineStr">
        <is>
          <t>Total debt</t>
        </is>
      </c>
      <c r="C4" s="4" t="inlineStr">
        <is>
          <t>Total equity</t>
        </is>
      </c>
      <c r="D4" s="4" t="inlineStr">
        <is>
          <t>Tax rate</t>
        </is>
      </c>
      <c r="E4" s="4" t="inlineStr">
        <is>
          <t>D/E</t>
        </is>
      </c>
      <c r="F4" s="4" t="inlineStr">
        <is>
          <t>D/(D+E)</t>
        </is>
      </c>
      <c r="G4" s="4" t="inlineStr">
        <is>
          <t>Levered beta</t>
        </is>
      </c>
      <c r="H4" s="4" t="inlineStr">
        <is>
          <t>Unlevered beta</t>
        </is>
      </c>
      <c r="I4" s="4" t="inlineStr">
        <is>
          <t>Source</t>
        </is>
      </c>
    </row>
    <row r="5">
      <c r="A5" s="5" t="inlineStr">
        <is>
          <t>Peer One</t>
        </is>
      </c>
      <c r="B5" s="12" t="n">
        <v>1800</v>
      </c>
      <c r="C5" s="12" t="n">
        <v>9200</v>
      </c>
      <c r="D5" s="6" t="n">
        <v>0.25</v>
      </c>
      <c r="E5" s="9">
        <f>B5/C5</f>
        <v/>
      </c>
      <c r="F5" s="8">
        <f>B5/(B5+C5)</f>
        <v/>
      </c>
      <c r="G5" s="29" t="n">
        <v>0.6840000000000001</v>
      </c>
      <c r="H5" s="30">
        <f>G5/(1+(1-D5)*E5)</f>
        <v/>
      </c>
      <c r="I5" s="7" t="inlineStr">
        <is>
          <t>exchange data and FY2025 accounts, 2026-10-16</t>
        </is>
      </c>
    </row>
    <row r="6">
      <c r="A6" s="5" t="inlineStr">
        <is>
          <t>Peer Two</t>
        </is>
      </c>
      <c r="B6" s="12" t="n">
        <v>900</v>
      </c>
      <c r="C6" s="12" t="n">
        <v>14500</v>
      </c>
      <c r="D6" s="6" t="n">
        <v>0.25</v>
      </c>
      <c r="E6" s="9">
        <f>B6/C6</f>
        <v/>
      </c>
      <c r="F6" s="8">
        <f>B6/(B6+C6)</f>
        <v/>
      </c>
      <c r="G6" s="29" t="n">
        <v>0.33</v>
      </c>
      <c r="H6" s="30">
        <f>G6/(1+(1-D6)*E6)</f>
        <v/>
      </c>
      <c r="I6" s="7" t="inlineStr">
        <is>
          <t>exchange data and FY2025 accounts, 2026-10-16</t>
        </is>
      </c>
    </row>
    <row r="7">
      <c r="A7" s="5" t="inlineStr">
        <is>
          <t>Peer Three</t>
        </is>
      </c>
      <c r="B7" s="12" t="n">
        <v>3100</v>
      </c>
      <c r="C7" s="12" t="n">
        <v>8700</v>
      </c>
      <c r="D7" s="6" t="n">
        <v>0.25</v>
      </c>
      <c r="E7" s="9">
        <f>B7/C7</f>
        <v/>
      </c>
      <c r="F7" s="8">
        <f>B7/(B7+C7)</f>
        <v/>
      </c>
      <c r="G7" s="29" t="n">
        <v>0.788</v>
      </c>
      <c r="H7" s="30">
        <f>G7/(1+(1-D7)*E7)</f>
        <v/>
      </c>
      <c r="I7" s="7" t="inlineStr">
        <is>
          <t>exchange data and FY2025 accounts, 2026-10-16</t>
        </is>
      </c>
    </row>
    <row r="8">
      <c r="A8" s="5" t="inlineStr">
        <is>
          <t>Peer Four</t>
        </is>
      </c>
      <c r="B8" s="12" t="n">
        <v>2200</v>
      </c>
      <c r="C8" s="12" t="n">
        <v>10100</v>
      </c>
      <c r="D8" s="6" t="n">
        <v>0.25</v>
      </c>
      <c r="E8" s="9">
        <f>B8/C8</f>
        <v/>
      </c>
      <c r="F8" s="8">
        <f>B8/(B8+C8)</f>
        <v/>
      </c>
      <c r="G8" s="29" t="n">
        <v>0.673</v>
      </c>
      <c r="H8" s="30">
        <f>G8/(1+(1-D8)*E8)</f>
        <v/>
      </c>
      <c r="I8" s="7" t="inlineStr">
        <is>
          <t>exchange data and FY2025 accounts, 2026-10-16</t>
        </is>
      </c>
    </row>
    <row r="9">
      <c r="A9" s="5" t="inlineStr">
        <is>
          <t>Peer Five</t>
        </is>
      </c>
      <c r="B9" s="12" t="n">
        <v>1500</v>
      </c>
      <c r="C9" s="12" t="n">
        <v>7300</v>
      </c>
      <c r="D9" s="6" t="n">
        <v>0.25</v>
      </c>
      <c r="E9" s="9">
        <f>B9/C9</f>
        <v/>
      </c>
      <c r="F9" s="8">
        <f>B9/(B9+C9)</f>
        <v/>
      </c>
      <c r="G9" s="29" t="n">
        <v>0.658</v>
      </c>
      <c r="H9" s="30">
        <f>G9/(1+(1-D9)*E9)</f>
        <v/>
      </c>
      <c r="I9" s="7" t="inlineStr">
        <is>
          <t>exchange data and FY2025 accounts, 2026-10-16</t>
        </is>
      </c>
    </row>
    <row r="10">
      <c r="A10" s="5" t="inlineStr">
        <is>
          <t>Median</t>
        </is>
      </c>
      <c r="E10" s="31">
        <f>MEDIAN(E5:E9)</f>
        <v/>
      </c>
      <c r="F10" s="19">
        <f>MEDIAN(F5:F9)</f>
        <v/>
      </c>
      <c r="G10" s="32">
        <f>MEDIAN(G5:G9)</f>
        <v/>
      </c>
      <c r="H10" s="32">
        <f>MEDIAN(H5:H9)</f>
        <v/>
      </c>
      <c r="I10" s="7" t="inlineStr">
        <is>
          <t>Unlevering strips each peer's financing out of its observed beta, leaving business risk only (Hamada)</t>
        </is>
      </c>
    </row>
    <row r="12">
      <c r="A12" s="1" t="inlineStr">
        <is>
          <t>Regression beta, Blume-adjusted</t>
        </is>
      </c>
    </row>
    <row r="13">
      <c r="A13" s="5" t="inlineStr">
        <is>
          <t>Raw regression beta</t>
        </is>
      </c>
      <c r="B13" s="30">
        <f>BETA_REGRESSION!H5</f>
        <v/>
      </c>
      <c r="C13" s="7" t="inlineStr">
        <is>
          <t>120 weekly closes to 2026-10-16, regressed on the local index</t>
        </is>
      </c>
    </row>
    <row r="14">
      <c r="A14" s="5" t="inlineStr">
        <is>
          <t>Weight on the raw beta</t>
        </is>
      </c>
      <c r="B14" s="6" t="n">
        <v>0.75</v>
      </c>
    </row>
    <row r="15">
      <c r="A15" s="5" t="inlineStr">
        <is>
          <t>Market beta (shrink target)</t>
        </is>
      </c>
      <c r="B15" s="29" t="n">
        <v>1</v>
      </c>
    </row>
    <row r="16">
      <c r="A16" s="5" t="inlineStr">
        <is>
          <t>Adjusted beta</t>
        </is>
      </c>
      <c r="B16" s="32">
        <f>B13*B14+B15*(1-B14)</f>
        <v/>
      </c>
      <c r="C16" s="7" t="inlineStr">
        <is>
          <t>Blume: betas drift toward 1 over time, so the raw estimate is shrunk toward the market</t>
        </is>
      </c>
    </row>
    <row r="17">
      <c r="A17" s="5" t="inlineStr">
        <is>
          <t>R² of the regression</t>
        </is>
      </c>
      <c r="B17" s="9">
        <f>BETA_REGRESSION!H7</f>
        <v/>
      </c>
      <c r="C17" s="7" t="inlineStr">
        <is>
          <t>How much of the share's movement the index explains. A low figure is a reason to lean on the peer-derived beta instead</t>
        </is>
      </c>
    </row>
    <row r="19">
      <c r="A19" s="1" t="inlineStr">
        <is>
          <t>Beta used in the cost of equity</t>
        </is>
      </c>
    </row>
    <row r="20">
      <c r="A20" s="5" t="inlineStr">
        <is>
          <t>Target debt / equity</t>
        </is>
      </c>
      <c r="B20" s="14" t="n">
        <v>0.35</v>
      </c>
    </row>
    <row r="21">
      <c r="A21" s="5" t="inlineStr">
        <is>
          <t>Peer beta re-levered at the target structure</t>
        </is>
      </c>
      <c r="B21" s="30">
        <f>H10*(1+(1-B63)*B20)</f>
        <v/>
      </c>
    </row>
    <row r="22">
      <c r="A22" s="5" t="inlineStr">
        <is>
          <t>Beta source (1 comps, 2 regression, 3 average)</t>
        </is>
      </c>
      <c r="B22" s="33" t="n">
        <v>3</v>
      </c>
    </row>
    <row r="23">
      <c r="A23" s="5" t="inlineStr">
        <is>
          <t>Beta used</t>
        </is>
      </c>
      <c r="B23" s="34">
        <f>CHOOSE(B22,B21,B16,AVERAGE(B21,B16))</f>
        <v/>
      </c>
    </row>
    <row r="25">
      <c r="A25" s="1" t="inlineStr">
        <is>
          <t>Equity risk premium from the market record</t>
        </is>
      </c>
    </row>
    <row r="26">
      <c r="A26" s="4" t="inlineStr">
        <is>
          <t>Year</t>
        </is>
      </c>
      <c r="B26" s="4" t="inlineStr">
        <is>
          <t>Market return</t>
        </is>
      </c>
    </row>
    <row r="27">
      <c r="A27" s="33" t="n">
        <v>2001</v>
      </c>
      <c r="B27" s="6" t="n">
        <v>-0.13</v>
      </c>
    </row>
    <row r="28">
      <c r="A28" s="33" t="n">
        <v>2002</v>
      </c>
      <c r="B28" s="6" t="n">
        <v>-0.234</v>
      </c>
    </row>
    <row r="29">
      <c r="A29" s="33" t="n">
        <v>2003</v>
      </c>
      <c r="B29" s="6" t="n">
        <v>0.264</v>
      </c>
    </row>
    <row r="30">
      <c r="A30" s="33" t="n">
        <v>2004</v>
      </c>
      <c r="B30" s="6" t="n">
        <v>0.09</v>
      </c>
    </row>
    <row r="31">
      <c r="A31" s="33" t="n">
        <v>2005</v>
      </c>
      <c r="B31" s="6" t="n">
        <v>0.03</v>
      </c>
    </row>
    <row r="32">
      <c r="A32" s="33" t="n">
        <v>2006</v>
      </c>
      <c r="B32" s="6" t="n">
        <v>0.136</v>
      </c>
    </row>
    <row r="33">
      <c r="A33" s="33" t="n">
        <v>2007</v>
      </c>
      <c r="B33" s="6" t="n">
        <v>0.035</v>
      </c>
    </row>
    <row r="34">
      <c r="A34" s="33" t="n">
        <v>2008</v>
      </c>
      <c r="B34" s="6" t="n">
        <v>-0.385</v>
      </c>
    </row>
    <row r="35">
      <c r="A35" s="33" t="n">
        <v>2009</v>
      </c>
      <c r="B35" s="6" t="n">
        <v>0.235</v>
      </c>
    </row>
    <row r="36">
      <c r="A36" s="33" t="n">
        <v>2010</v>
      </c>
      <c r="B36" s="6" t="n">
        <v>0.128</v>
      </c>
    </row>
    <row r="37">
      <c r="A37" s="33" t="n">
        <v>2011</v>
      </c>
      <c r="B37" s="6" t="n">
        <v>0</v>
      </c>
    </row>
    <row r="38">
      <c r="A38" s="33" t="n">
        <v>2012</v>
      </c>
      <c r="B38" s="6" t="n">
        <v>0.134</v>
      </c>
    </row>
    <row r="39">
      <c r="A39" s="33" t="n">
        <v>2013</v>
      </c>
      <c r="B39" s="6" t="n">
        <v>0.296</v>
      </c>
    </row>
    <row r="40">
      <c r="A40" s="33" t="n">
        <v>2014</v>
      </c>
      <c r="B40" s="6" t="n">
        <v>0.114</v>
      </c>
    </row>
    <row r="41">
      <c r="A41" s="33" t="n">
        <v>2015</v>
      </c>
      <c r="B41" s="6" t="n">
        <v>-0.007</v>
      </c>
    </row>
    <row r="42">
      <c r="A42" s="33" t="n">
        <v>2016</v>
      </c>
      <c r="B42" s="6" t="n">
        <v>0.095</v>
      </c>
    </row>
    <row r="43">
      <c r="A43" s="33" t="n">
        <v>2017</v>
      </c>
      <c r="B43" s="6" t="n">
        <v>0.194</v>
      </c>
    </row>
    <row r="44">
      <c r="A44" s="33" t="n">
        <v>2018</v>
      </c>
      <c r="B44" s="6" t="n">
        <v>-0.062</v>
      </c>
    </row>
    <row r="45">
      <c r="A45" s="33" t="n">
        <v>2019</v>
      </c>
      <c r="B45" s="6" t="n">
        <v>0.288</v>
      </c>
    </row>
    <row r="46">
      <c r="A46" s="33" t="n">
        <v>2020</v>
      </c>
      <c r="B46" s="6" t="n">
        <v>0.162</v>
      </c>
    </row>
    <row r="47">
      <c r="A47" s="33" t="n">
        <v>2021</v>
      </c>
      <c r="B47" s="6" t="n">
        <v>0.268</v>
      </c>
    </row>
    <row r="48">
      <c r="A48" s="33" t="n">
        <v>2022</v>
      </c>
      <c r="B48" s="6" t="n">
        <v>-0.194</v>
      </c>
    </row>
    <row r="49">
      <c r="A49" s="33" t="n">
        <v>2023</v>
      </c>
      <c r="B49" s="6" t="n">
        <v>0.242</v>
      </c>
    </row>
    <row r="50">
      <c r="A50" s="33" t="n">
        <v>2024</v>
      </c>
      <c r="B50" s="6" t="n">
        <v>0.23</v>
      </c>
    </row>
    <row r="51">
      <c r="A51" s="33" t="n">
        <v>2025</v>
      </c>
      <c r="B51" s="6" t="n">
        <v>0.08500000000000001</v>
      </c>
    </row>
    <row r="53">
      <c r="A53" s="5" t="inlineStr">
        <is>
          <t>Average annual price return (25 years)</t>
        </is>
      </c>
      <c r="B53" s="8">
        <f>AVERAGE(B27:B51)</f>
        <v/>
      </c>
      <c r="C53" s="7" t="inlineStr">
        <is>
          <t>Index annual total price returns 2001-2025; dividend yield from the index factsheet, 2026-10-16</t>
        </is>
      </c>
    </row>
    <row r="54">
      <c r="A54" s="5" t="inlineStr">
        <is>
          <t>Dividend yield</t>
        </is>
      </c>
      <c r="B54" s="6" t="n">
        <v>0.016</v>
      </c>
    </row>
    <row r="55">
      <c r="A55" s="5" t="inlineStr">
        <is>
          <t>Total market return</t>
        </is>
      </c>
      <c r="B55" s="8">
        <f>B53+B54</f>
        <v/>
      </c>
    </row>
    <row r="56">
      <c r="A56" s="5" t="inlineStr">
        <is>
          <t>Risk-free rate</t>
        </is>
      </c>
      <c r="B56" s="6" t="n">
        <v>0.042</v>
      </c>
    </row>
    <row r="57">
      <c r="A57" s="5" t="inlineStr">
        <is>
          <t>Equity risk premium</t>
        </is>
      </c>
      <c r="B57" s="10">
        <f>B55-B56</f>
        <v/>
      </c>
      <c r="C57" s="7" t="inlineStr">
        <is>
          <t>A premium derived from a long record rather than a round number; the window length is itself an assumption</t>
        </is>
      </c>
    </row>
    <row r="59">
      <c r="A59" s="1" t="inlineStr">
        <is>
          <t>Cost of debt</t>
        </is>
      </c>
    </row>
    <row r="60">
      <c r="A60" s="5" t="inlineStr">
        <is>
          <t>Interest expense</t>
        </is>
      </c>
      <c r="B60" s="12" t="n">
        <v>96</v>
      </c>
    </row>
    <row r="61">
      <c r="A61" s="5" t="inlineStr">
        <is>
          <t>Gross debt</t>
        </is>
      </c>
      <c r="B61" s="12" t="n">
        <v>1600</v>
      </c>
    </row>
    <row r="62">
      <c r="A62" s="5" t="inlineStr">
        <is>
          <t>Pre-tax cost of debt</t>
        </is>
      </c>
      <c r="B62" s="8">
        <f>B60/B61</f>
        <v/>
      </c>
      <c r="C62" s="7" t="inlineStr">
        <is>
          <t>FY2025 10-K: finance costs over average gross borrowings</t>
        </is>
      </c>
    </row>
    <row r="63">
      <c r="A63" s="5" t="inlineStr">
        <is>
          <t>Marginal tax rate</t>
        </is>
      </c>
      <c r="B63" s="6" t="n">
        <v>0.25</v>
      </c>
    </row>
    <row r="64">
      <c r="A64" s="5" t="inlineStr">
        <is>
          <t>After-tax cost of debt</t>
        </is>
      </c>
      <c r="B64" s="8">
        <f>B62*(1-B63)</f>
        <v/>
      </c>
    </row>
    <row r="66">
      <c r="A66" s="1" t="inlineStr">
        <is>
          <t>Weighted average cost of capital</t>
        </is>
      </c>
    </row>
    <row r="67">
      <c r="A67" s="5" t="inlineStr">
        <is>
          <t>Cost of equity</t>
        </is>
      </c>
      <c r="B67" s="25">
        <f>B56+B23*B57</f>
        <v/>
      </c>
    </row>
    <row r="68">
      <c r="A68" s="5" t="inlineStr">
        <is>
          <t>Equity weight</t>
        </is>
      </c>
      <c r="B68" s="8">
        <f>1-B69</f>
        <v/>
      </c>
    </row>
    <row r="69">
      <c r="A69" s="5" t="inlineStr">
        <is>
          <t>Debt weight</t>
        </is>
      </c>
      <c r="B69" s="8">
        <f>B20/(1+B20)</f>
        <v/>
      </c>
    </row>
    <row r="70">
      <c r="A70" s="5" t="inlineStr">
        <is>
          <t>WACC</t>
        </is>
      </c>
      <c r="B70" s="35">
        <f>B68*B67+B69*B64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PROJECTION — every cell a formula off INPUTS</t>
        </is>
      </c>
    </row>
    <row r="2">
      <c r="A2" s="3" t="inlineStr">
        <is>
          <t>Nothing here is typed in. Change an assumption on INPUTS and watch this move.</t>
        </is>
      </c>
    </row>
    <row r="3">
      <c r="A3" s="4" t="inlineStr">
        <is>
          <t>Metric</t>
        </is>
      </c>
      <c r="B3" s="4" t="inlineStr">
        <is>
          <t>2026</t>
        </is>
      </c>
      <c r="C3" s="4" t="inlineStr">
        <is>
          <t>2027</t>
        </is>
      </c>
      <c r="D3" s="4" t="inlineStr">
        <is>
          <t>2028</t>
        </is>
      </c>
      <c r="E3" s="4" t="inlineStr">
        <is>
          <t>2029</t>
        </is>
      </c>
      <c r="F3" s="4" t="inlineStr">
        <is>
          <t>2030</t>
        </is>
      </c>
      <c r="G3" s="4" t="inlineStr">
        <is>
          <t>2031</t>
        </is>
      </c>
      <c r="H3" s="4" t="inlineStr">
        <is>
          <t>2032</t>
        </is>
      </c>
    </row>
    <row r="4">
      <c r="A4" s="5" t="inlineStr">
        <is>
          <t>Revenue</t>
        </is>
      </c>
      <c r="B4" s="18">
        <f>HISTORICALS!$K$4*(1+INPUTS!B$22)</f>
        <v/>
      </c>
      <c r="C4" s="18">
        <f>B4*(1+INPUTS!C$22)</f>
        <v/>
      </c>
      <c r="D4" s="18">
        <f>C4*(1+INPUTS!D$22)</f>
        <v/>
      </c>
      <c r="E4" s="18">
        <f>D4*(1+INPUTS!E$22)</f>
        <v/>
      </c>
      <c r="F4" s="18">
        <f>E4*(1+INPUTS!F$22)</f>
        <v/>
      </c>
      <c r="G4" s="18">
        <f>F4*(1+INPUTS!G$22)</f>
        <v/>
      </c>
      <c r="H4" s="18">
        <f>G4*(1+INPUTS!H$22)</f>
        <v/>
      </c>
    </row>
    <row r="5">
      <c r="A5" s="5" t="inlineStr">
        <is>
          <t>EBIT</t>
        </is>
      </c>
      <c r="B5" s="18">
        <f>B4*INPUTS!B$23</f>
        <v/>
      </c>
      <c r="C5" s="18">
        <f>C4*INPUTS!C$23</f>
        <v/>
      </c>
      <c r="D5" s="18">
        <f>D4*INPUTS!D$23</f>
        <v/>
      </c>
      <c r="E5" s="18">
        <f>E4*INPUTS!E$23</f>
        <v/>
      </c>
      <c r="F5" s="18">
        <f>F4*INPUTS!F$23</f>
        <v/>
      </c>
      <c r="G5" s="18">
        <f>G4*INPUTS!G$23</f>
        <v/>
      </c>
      <c r="H5" s="18">
        <f>H4*INPUTS!H$23</f>
        <v/>
      </c>
    </row>
    <row r="6">
      <c r="A6" s="5" t="inlineStr">
        <is>
          <t>Tax on EBIT</t>
        </is>
      </c>
      <c r="B6" s="18">
        <f>B5*INPUTS!$B$4</f>
        <v/>
      </c>
      <c r="C6" s="18">
        <f>C5*INPUTS!$B$4</f>
        <v/>
      </c>
      <c r="D6" s="18">
        <f>D5*INPUTS!$B$4</f>
        <v/>
      </c>
      <c r="E6" s="18">
        <f>E5*INPUTS!$B$4</f>
        <v/>
      </c>
      <c r="F6" s="18">
        <f>F5*INPUTS!$B$4</f>
        <v/>
      </c>
      <c r="G6" s="18">
        <f>G5*INPUTS!$B$4</f>
        <v/>
      </c>
      <c r="H6" s="18">
        <f>H5*INPUTS!$B$4</f>
        <v/>
      </c>
    </row>
    <row r="7">
      <c r="A7" s="5" t="inlineStr">
        <is>
          <t>NOPAT</t>
        </is>
      </c>
      <c r="B7" s="18">
        <f>B5-B6</f>
        <v/>
      </c>
      <c r="C7" s="18">
        <f>C5-C6</f>
        <v/>
      </c>
      <c r="D7" s="18">
        <f>D5-D6</f>
        <v/>
      </c>
      <c r="E7" s="18">
        <f>E5-E6</f>
        <v/>
      </c>
      <c r="F7" s="18">
        <f>F5-F6</f>
        <v/>
      </c>
      <c r="G7" s="18">
        <f>G5-G6</f>
        <v/>
      </c>
      <c r="H7" s="18">
        <f>H5-H6</f>
        <v/>
      </c>
    </row>
    <row r="8">
      <c r="A8" s="5" t="inlineStr">
        <is>
          <t>D&amp;A</t>
        </is>
      </c>
      <c r="B8" s="18">
        <f>B4*INPUTS!B$24</f>
        <v/>
      </c>
      <c r="C8" s="18">
        <f>C4*INPUTS!C$24</f>
        <v/>
      </c>
      <c r="D8" s="18">
        <f>D4*INPUTS!D$24</f>
        <v/>
      </c>
      <c r="E8" s="18">
        <f>E4*INPUTS!E$24</f>
        <v/>
      </c>
      <c r="F8" s="18">
        <f>F4*INPUTS!F$24</f>
        <v/>
      </c>
      <c r="G8" s="18">
        <f>G4*INPUTS!G$24</f>
        <v/>
      </c>
      <c r="H8" s="18">
        <f>H4*INPUTS!H$24</f>
        <v/>
      </c>
    </row>
    <row r="9">
      <c r="A9" s="5" t="inlineStr">
        <is>
          <t>Capex</t>
        </is>
      </c>
      <c r="B9" s="18">
        <f>B4*INPUTS!B$25</f>
        <v/>
      </c>
      <c r="C9" s="18">
        <f>C4*INPUTS!C$25</f>
        <v/>
      </c>
      <c r="D9" s="18">
        <f>D4*INPUTS!D$25</f>
        <v/>
      </c>
      <c r="E9" s="18">
        <f>E4*INPUTS!E$25</f>
        <v/>
      </c>
      <c r="F9" s="18">
        <f>F4*INPUTS!F$25</f>
        <v/>
      </c>
      <c r="G9" s="18">
        <f>G4*INPUTS!G$25</f>
        <v/>
      </c>
      <c r="H9" s="18">
        <f>H4*INPUTS!H$25</f>
        <v/>
      </c>
    </row>
    <row r="10">
      <c r="A10" s="5" t="inlineStr">
        <is>
          <t>Net working capital (balance)</t>
        </is>
      </c>
      <c r="B10" s="18">
        <f>B4*INPUTS!B$26</f>
        <v/>
      </c>
      <c r="C10" s="18">
        <f>C4*INPUTS!C$26</f>
        <v/>
      </c>
      <c r="D10" s="18">
        <f>D4*INPUTS!D$26</f>
        <v/>
      </c>
      <c r="E10" s="18">
        <f>E4*INPUTS!E$26</f>
        <v/>
      </c>
      <c r="F10" s="18">
        <f>F4*INPUTS!F$26</f>
        <v/>
      </c>
      <c r="G10" s="18">
        <f>G4*INPUTS!G$26</f>
        <v/>
      </c>
      <c r="H10" s="18">
        <f>H4*INPUTS!H$26</f>
        <v/>
      </c>
    </row>
    <row r="11">
      <c r="A11" s="5" t="inlineStr">
        <is>
          <t>Change in net working capital</t>
        </is>
      </c>
      <c r="B11" s="18">
        <f>B10-HISTORICALS!$K$9</f>
        <v/>
      </c>
      <c r="C11" s="18">
        <f>C10-B10</f>
        <v/>
      </c>
      <c r="D11" s="18">
        <f>D10-C10</f>
        <v/>
      </c>
      <c r="E11" s="18">
        <f>E10-D10</f>
        <v/>
      </c>
      <c r="F11" s="18">
        <f>F10-E10</f>
        <v/>
      </c>
      <c r="G11" s="18">
        <f>G10-F10</f>
        <v/>
      </c>
      <c r="H11" s="18">
        <f>H10-G10</f>
        <v/>
      </c>
    </row>
    <row r="12">
      <c r="A12" s="5" t="inlineStr">
        <is>
          <t>Unlevered free cash flow</t>
        </is>
      </c>
      <c r="B12" s="36">
        <f>B7+B8-B9-B11</f>
        <v/>
      </c>
      <c r="C12" s="36">
        <f>C7+C8-C9-C11</f>
        <v/>
      </c>
      <c r="D12" s="36">
        <f>D7+D8-D9-D11</f>
        <v/>
      </c>
      <c r="E12" s="36">
        <f>E7+E8-E9-E11</f>
        <v/>
      </c>
      <c r="F12" s="36">
        <f>F7+F8-F9-F11</f>
        <v/>
      </c>
      <c r="G12" s="36">
        <f>G7+G8-G9-G11</f>
        <v/>
      </c>
      <c r="H12" s="36">
        <f>H7+H8-H9-H11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VALUATION — DCF with an exit-multiple and comparables cross-check</t>
        </is>
      </c>
    </row>
    <row r="2">
      <c r="A2" s="3" t="inlineStr">
        <is>
          <t>Outputs a value range under stated assumptions. It does not say whether to buy or sell.</t>
        </is>
      </c>
    </row>
    <row r="3">
      <c r="A3" s="4" t="inlineStr">
        <is>
          <t>Metric</t>
        </is>
      </c>
      <c r="B3" s="4" t="inlineStr">
        <is>
          <t>Y1</t>
        </is>
      </c>
      <c r="C3" s="4" t="inlineStr">
        <is>
          <t>Y2</t>
        </is>
      </c>
      <c r="D3" s="4" t="inlineStr">
        <is>
          <t>Y3</t>
        </is>
      </c>
      <c r="E3" s="4" t="inlineStr">
        <is>
          <t>Y4</t>
        </is>
      </c>
      <c r="F3" s="4" t="inlineStr">
        <is>
          <t>Y5</t>
        </is>
      </c>
      <c r="G3" s="4" t="inlineStr">
        <is>
          <t>Y6</t>
        </is>
      </c>
      <c r="H3" s="4" t="inlineStr">
        <is>
          <t>Y7</t>
        </is>
      </c>
    </row>
    <row r="4">
      <c r="A4" s="5" t="inlineStr">
        <is>
          <t>Unlevered free cash flow</t>
        </is>
      </c>
      <c r="B4" s="18">
        <f>PROJECTION!B12</f>
        <v/>
      </c>
      <c r="C4" s="18">
        <f>PROJECTION!C12</f>
        <v/>
      </c>
      <c r="D4" s="18">
        <f>PROJECTION!D12</f>
        <v/>
      </c>
      <c r="E4" s="18">
        <f>PROJECTION!E12</f>
        <v/>
      </c>
      <c r="F4" s="18">
        <f>PROJECTION!F12</f>
        <v/>
      </c>
      <c r="G4" s="18">
        <f>PROJECTION!G12</f>
        <v/>
      </c>
      <c r="H4" s="18">
        <f>PROJECTION!H12</f>
        <v/>
      </c>
    </row>
    <row r="5">
      <c r="A5" s="5" t="inlineStr">
        <is>
          <t>Discount period</t>
        </is>
      </c>
      <c r="B5" s="9">
        <f>INPUTS!$B$18+COLUMN(B5)-2</f>
        <v/>
      </c>
      <c r="C5" s="9">
        <f>INPUTS!$B$18+COLUMN(C5)-2</f>
        <v/>
      </c>
      <c r="D5" s="9">
        <f>INPUTS!$B$18+COLUMN(D5)-2</f>
        <v/>
      </c>
      <c r="E5" s="9">
        <f>INPUTS!$B$18+COLUMN(E5)-2</f>
        <v/>
      </c>
      <c r="F5" s="9">
        <f>INPUTS!$B$18+COLUMN(F5)-2</f>
        <v/>
      </c>
      <c r="G5" s="9">
        <f>INPUTS!$B$18+COLUMN(G5)-2</f>
        <v/>
      </c>
      <c r="H5" s="9">
        <f>INPUTS!$B$18+COLUMN(H5)-2</f>
        <v/>
      </c>
    </row>
    <row r="6">
      <c r="A6" s="5" t="inlineStr">
        <is>
          <t>Discount factor</t>
        </is>
      </c>
      <c r="B6" s="28">
        <f>1/(1+INPUTS!$B$10)^B5</f>
        <v/>
      </c>
      <c r="C6" s="28">
        <f>1/(1+INPUTS!$B$10)^C5</f>
        <v/>
      </c>
      <c r="D6" s="28">
        <f>1/(1+INPUTS!$B$10)^D5</f>
        <v/>
      </c>
      <c r="E6" s="28">
        <f>1/(1+INPUTS!$B$10)^E5</f>
        <v/>
      </c>
      <c r="F6" s="28">
        <f>1/(1+INPUTS!$B$10)^F5</f>
        <v/>
      </c>
      <c r="G6" s="28">
        <f>1/(1+INPUTS!$B$10)^G5</f>
        <v/>
      </c>
      <c r="H6" s="28">
        <f>1/(1+INPUTS!$B$10)^H5</f>
        <v/>
      </c>
    </row>
    <row r="7">
      <c r="A7" s="5" t="inlineStr">
        <is>
          <t>PV of free cash flow</t>
        </is>
      </c>
      <c r="B7" s="18">
        <f>B4*B6</f>
        <v/>
      </c>
      <c r="C7" s="18">
        <f>C4*C6</f>
        <v/>
      </c>
      <c r="D7" s="18">
        <f>D4*D6</f>
        <v/>
      </c>
      <c r="E7" s="18">
        <f>E4*E6</f>
        <v/>
      </c>
      <c r="F7" s="18">
        <f>F4*F6</f>
        <v/>
      </c>
      <c r="G7" s="18">
        <f>G4*G6</f>
        <v/>
      </c>
      <c r="H7" s="18">
        <f>H4*H6</f>
        <v/>
      </c>
    </row>
    <row r="9">
      <c r="A9" s="5" t="inlineStr">
        <is>
          <t>PV of explicit-period FCF</t>
        </is>
      </c>
      <c r="B9" s="18">
        <f>SUM(B7:H7)</f>
        <v/>
      </c>
    </row>
    <row r="10">
      <c r="A10" s="5" t="inlineStr">
        <is>
          <t>Terminal value (perpetuity growth)</t>
        </is>
      </c>
      <c r="B10" s="18">
        <f>H4*(1+INPUTS!$B$11)/(INPUTS!$B$10-INPUTS!$B$11)</f>
        <v/>
      </c>
    </row>
    <row r="11">
      <c r="A11" s="5" t="inlineStr">
        <is>
          <t>PV of terminal value</t>
        </is>
      </c>
      <c r="B11" s="18">
        <f>B10*H6</f>
        <v/>
      </c>
    </row>
    <row r="12">
      <c r="A12" s="5" t="inlineStr">
        <is>
          <t>Enterprise value</t>
        </is>
      </c>
      <c r="B12" s="18">
        <f>B9+B11</f>
        <v/>
      </c>
    </row>
    <row r="13">
      <c r="A13" s="5" t="inlineStr">
        <is>
          <t>Less: net debt</t>
        </is>
      </c>
      <c r="B13" s="18">
        <f>INPUTS!$B$13</f>
        <v/>
      </c>
    </row>
    <row r="14">
      <c r="A14" s="5" t="inlineStr">
        <is>
          <t>Equity value</t>
        </is>
      </c>
      <c r="B14" s="18">
        <f>B12-B13</f>
        <v/>
      </c>
    </row>
    <row r="15">
      <c r="A15" s="5" t="inlineStr">
        <is>
          <t>Shares outstanding</t>
        </is>
      </c>
      <c r="B15" s="18">
        <f>INPUTS!$B$14</f>
        <v/>
      </c>
    </row>
    <row r="16">
      <c r="A16" s="5" t="inlineStr">
        <is>
          <t>Value per share (DCF, perpetuity)</t>
        </is>
      </c>
      <c r="B16" s="37">
        <f>B14/B15</f>
        <v/>
      </c>
    </row>
    <row r="17">
      <c r="A17" s="5" t="inlineStr">
        <is>
          <t>Current share price</t>
        </is>
      </c>
      <c r="B17" s="38">
        <f>INPUTS!$B$15</f>
        <v/>
      </c>
    </row>
    <row r="18">
      <c r="A18" s="5" t="inlineStr">
        <is>
          <t>Model value vs current price (arithmetic only)</t>
        </is>
      </c>
      <c r="B18" s="8">
        <f>B16/B17-1</f>
        <v/>
      </c>
    </row>
    <row r="20">
      <c r="A20" s="2" t="inlineStr">
        <is>
          <t>Cross-check 1 — exit multiple terminal value</t>
        </is>
      </c>
    </row>
    <row r="21">
      <c r="A21" s="5" t="inlineStr">
        <is>
          <t>Terminal-year EBITDA</t>
        </is>
      </c>
      <c r="B21" s="18">
        <f>PROJECTION!H5+PROJECTION!H8</f>
        <v/>
      </c>
    </row>
    <row r="22">
      <c r="A22" s="5" t="inlineStr">
        <is>
          <t>Terminal value (exit multiple)</t>
        </is>
      </c>
      <c r="B22" s="18">
        <f>B21*INPUTS!$B$12</f>
        <v/>
      </c>
    </row>
    <row r="23">
      <c r="A23" s="5" t="inlineStr">
        <is>
          <t>PV of terminal value (exit)</t>
        </is>
      </c>
      <c r="B23" s="18">
        <f>B22*H6</f>
        <v/>
      </c>
    </row>
    <row r="24">
      <c r="A24" s="5" t="inlineStr">
        <is>
          <t>Enterprise value (exit method)</t>
        </is>
      </c>
      <c r="B24" s="18">
        <f>B9+B23</f>
        <v/>
      </c>
    </row>
    <row r="25">
      <c r="A25" s="5" t="inlineStr">
        <is>
          <t>Value per share (exit method)</t>
        </is>
      </c>
      <c r="B25" s="38">
        <f>(B24-INPUTS!$B$13)/INPUTS!$B$14</f>
        <v/>
      </c>
    </row>
    <row r="27">
      <c r="A27" s="2" t="inlineStr">
        <is>
          <t>Cross-check 2 — comparables</t>
        </is>
      </c>
    </row>
    <row r="28">
      <c r="A28" s="5" t="inlineStr">
        <is>
          <t>Peer median EV/EBITDA</t>
        </is>
      </c>
      <c r="B28" s="39">
        <f>MEDIAN(INPUTS!B30:B32)</f>
        <v/>
      </c>
    </row>
    <row r="29">
      <c r="A29" s="5" t="inlineStr">
        <is>
          <t>Y1 EBITDA</t>
        </is>
      </c>
      <c r="B29" s="18">
        <f>PROJECTION!B5+PROJECTION!B8</f>
        <v/>
      </c>
    </row>
    <row r="30">
      <c r="A30" s="5" t="inlineStr">
        <is>
          <t>Implied enterprise value (comps)</t>
        </is>
      </c>
      <c r="B30" s="18">
        <f>B28*B29</f>
        <v/>
      </c>
    </row>
    <row r="31">
      <c r="A31" s="5" t="inlineStr">
        <is>
          <t>Implied value per share (comps)</t>
        </is>
      </c>
      <c r="B31" s="38">
        <f>(B30-INPUTS!$B$13)/INPUTS!$B$14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60" customWidth="1" min="12" max="12"/>
  </cols>
  <sheetData>
    <row r="1">
      <c r="A1" s="1" t="inlineStr">
        <is>
          <t>INTRINSIC GROWTH — what the business can fund</t>
        </is>
      </c>
    </row>
    <row r="2">
      <c r="A2" s="3" t="inlineStr">
        <is>
          <t>g = reinvestment rate × ROIC. Not a forecast — a benchmark to judge the forecast against.</t>
        </is>
      </c>
    </row>
    <row r="3">
      <c r="A3" s="4" t="inlineStr">
        <is>
          <t>Metric</t>
        </is>
      </c>
      <c r="B3" s="4" t="inlineStr">
        <is>
          <t>2016</t>
        </is>
      </c>
      <c r="C3" s="4" t="inlineStr">
        <is>
          <t>2017</t>
        </is>
      </c>
      <c r="D3" s="4" t="inlineStr">
        <is>
          <t>2018</t>
        </is>
      </c>
      <c r="E3" s="4" t="inlineStr">
        <is>
          <t>2019</t>
        </is>
      </c>
      <c r="F3" s="4" t="inlineStr">
        <is>
          <t>2020</t>
        </is>
      </c>
      <c r="G3" s="4" t="inlineStr">
        <is>
          <t>2021</t>
        </is>
      </c>
      <c r="H3" s="4" t="inlineStr">
        <is>
          <t>2022</t>
        </is>
      </c>
      <c r="I3" s="4" t="inlineStr">
        <is>
          <t>2023</t>
        </is>
      </c>
      <c r="J3" s="4" t="inlineStr">
        <is>
          <t>2024</t>
        </is>
      </c>
      <c r="K3" s="4" t="inlineStr">
        <is>
          <t>2025</t>
        </is>
      </c>
    </row>
    <row r="4">
      <c r="A4" s="5" t="inlineStr">
        <is>
          <t>Net PP&amp;E</t>
        </is>
      </c>
      <c r="B4" s="18">
        <f>HISTORICALS!B12</f>
        <v/>
      </c>
      <c r="C4" s="18">
        <f>HISTORICALS!C12</f>
        <v/>
      </c>
      <c r="D4" s="18">
        <f>HISTORICALS!D12</f>
        <v/>
      </c>
      <c r="E4" s="18">
        <f>HISTORICALS!E12</f>
        <v/>
      </c>
      <c r="F4" s="18">
        <f>HISTORICALS!F12</f>
        <v/>
      </c>
      <c r="G4" s="18">
        <f>HISTORICALS!G12</f>
        <v/>
      </c>
      <c r="H4" s="18">
        <f>HISTORICALS!H12</f>
        <v/>
      </c>
      <c r="I4" s="18">
        <f>HISTORICALS!I12</f>
        <v/>
      </c>
      <c r="J4" s="18">
        <f>HISTORICALS!J12</f>
        <v/>
      </c>
      <c r="K4" s="18">
        <f>HISTORICALS!K12</f>
        <v/>
      </c>
    </row>
    <row r="5">
      <c r="A5" s="5" t="inlineStr">
        <is>
          <t>Net working capital</t>
        </is>
      </c>
      <c r="B5" s="18">
        <f>HISTORICALS!B9</f>
        <v/>
      </c>
      <c r="C5" s="18">
        <f>HISTORICALS!C9</f>
        <v/>
      </c>
      <c r="D5" s="18">
        <f>HISTORICALS!D9</f>
        <v/>
      </c>
      <c r="E5" s="18">
        <f>HISTORICALS!E9</f>
        <v/>
      </c>
      <c r="F5" s="18">
        <f>HISTORICALS!F9</f>
        <v/>
      </c>
      <c r="G5" s="18">
        <f>HISTORICALS!G9</f>
        <v/>
      </c>
      <c r="H5" s="18">
        <f>HISTORICALS!H9</f>
        <v/>
      </c>
      <c r="I5" s="18">
        <f>HISTORICALS!I9</f>
        <v/>
      </c>
      <c r="J5" s="18">
        <f>HISTORICALS!J9</f>
        <v/>
      </c>
      <c r="K5" s="18">
        <f>HISTORICALS!K9</f>
        <v/>
      </c>
    </row>
    <row r="6">
      <c r="A6" s="5" t="inlineStr">
        <is>
          <t>Invested capital</t>
        </is>
      </c>
      <c r="B6" s="18">
        <f>B4+B5</f>
        <v/>
      </c>
      <c r="C6" s="18">
        <f>C4+C5</f>
        <v/>
      </c>
      <c r="D6" s="18">
        <f>D4+D5</f>
        <v/>
      </c>
      <c r="E6" s="18">
        <f>E4+E5</f>
        <v/>
      </c>
      <c r="F6" s="18">
        <f>F4+F5</f>
        <v/>
      </c>
      <c r="G6" s="18">
        <f>G4+G5</f>
        <v/>
      </c>
      <c r="H6" s="18">
        <f>H4+H5</f>
        <v/>
      </c>
      <c r="I6" s="18">
        <f>I4+I5</f>
        <v/>
      </c>
      <c r="J6" s="18">
        <f>J4+J5</f>
        <v/>
      </c>
      <c r="K6" s="18">
        <f>K4+K5</f>
        <v/>
      </c>
    </row>
    <row r="7">
      <c r="A7" s="5" t="inlineStr">
        <is>
          <t>EBIT</t>
        </is>
      </c>
      <c r="B7" s="18">
        <f>HISTORICALS!B5</f>
        <v/>
      </c>
      <c r="C7" s="18">
        <f>HISTORICALS!C5</f>
        <v/>
      </c>
      <c r="D7" s="18">
        <f>HISTORICALS!D5</f>
        <v/>
      </c>
      <c r="E7" s="18">
        <f>HISTORICALS!E5</f>
        <v/>
      </c>
      <c r="F7" s="18">
        <f>HISTORICALS!F5</f>
        <v/>
      </c>
      <c r="G7" s="18">
        <f>HISTORICALS!G5</f>
        <v/>
      </c>
      <c r="H7" s="18">
        <f>HISTORICALS!H5</f>
        <v/>
      </c>
      <c r="I7" s="18">
        <f>HISTORICALS!I5</f>
        <v/>
      </c>
      <c r="J7" s="18">
        <f>HISTORICALS!J5</f>
        <v/>
      </c>
      <c r="K7" s="18">
        <f>HISTORICALS!K5</f>
        <v/>
      </c>
    </row>
    <row r="8">
      <c r="A8" s="5" t="inlineStr">
        <is>
          <t>NOPAT</t>
        </is>
      </c>
      <c r="B8" s="18">
        <f>B7*(1-WACC!$B$63)</f>
        <v/>
      </c>
      <c r="C8" s="18">
        <f>C7*(1-WACC!$B$63)</f>
        <v/>
      </c>
      <c r="D8" s="18">
        <f>D7*(1-WACC!$B$63)</f>
        <v/>
      </c>
      <c r="E8" s="18">
        <f>E7*(1-WACC!$B$63)</f>
        <v/>
      </c>
      <c r="F8" s="18">
        <f>F7*(1-WACC!$B$63)</f>
        <v/>
      </c>
      <c r="G8" s="18">
        <f>G7*(1-WACC!$B$63)</f>
        <v/>
      </c>
      <c r="H8" s="18">
        <f>H7*(1-WACC!$B$63)</f>
        <v/>
      </c>
      <c r="I8" s="18">
        <f>I7*(1-WACC!$B$63)</f>
        <v/>
      </c>
      <c r="J8" s="18">
        <f>J7*(1-WACC!$B$63)</f>
        <v/>
      </c>
      <c r="K8" s="18">
        <f>K7*(1-WACC!$B$63)</f>
        <v/>
      </c>
    </row>
    <row r="9">
      <c r="A9" s="5" t="inlineStr">
        <is>
          <t>ROIC</t>
        </is>
      </c>
      <c r="B9" s="19">
        <f>B8/B6</f>
        <v/>
      </c>
      <c r="C9" s="19">
        <f>C8/C6</f>
        <v/>
      </c>
      <c r="D9" s="19">
        <f>D8/D6</f>
        <v/>
      </c>
      <c r="E9" s="19">
        <f>E8/E6</f>
        <v/>
      </c>
      <c r="F9" s="19">
        <f>F8/F6</f>
        <v/>
      </c>
      <c r="G9" s="19">
        <f>G8/G6</f>
        <v/>
      </c>
      <c r="H9" s="19">
        <f>H8/H6</f>
        <v/>
      </c>
      <c r="I9" s="19">
        <f>I8/I6</f>
        <v/>
      </c>
      <c r="J9" s="19">
        <f>J8/J6</f>
        <v/>
      </c>
      <c r="K9" s="19">
        <f>K8/K6</f>
        <v/>
      </c>
    </row>
    <row r="11">
      <c r="A11" s="1" t="inlineStr">
        <is>
          <t>Reinvestment rate (latest year)</t>
        </is>
      </c>
    </row>
    <row r="12">
      <c r="A12" s="5" t="inlineStr">
        <is>
          <t>Net capex (capex less D&amp;A)</t>
        </is>
      </c>
      <c r="B12" s="18">
        <f>HISTORICALS!K8-HISTORICALS!K7</f>
        <v/>
      </c>
    </row>
    <row r="13">
      <c r="A13" s="5" t="inlineStr">
        <is>
          <t>Change in working capital</t>
        </is>
      </c>
      <c r="B13" s="18">
        <f>K5-J5</f>
        <v/>
      </c>
    </row>
    <row r="14">
      <c r="A14" s="5" t="inlineStr">
        <is>
          <t>Reinvestment</t>
        </is>
      </c>
      <c r="B14" s="18">
        <f>B12+B13</f>
        <v/>
      </c>
    </row>
    <row r="15">
      <c r="A15" s="5" t="inlineStr">
        <is>
          <t>NOPAT</t>
        </is>
      </c>
      <c r="B15" s="18">
        <f>K8</f>
        <v/>
      </c>
    </row>
    <row r="16">
      <c r="A16" s="5" t="inlineStr">
        <is>
          <t>Reinvestment rate</t>
        </is>
      </c>
      <c r="B16" s="19">
        <f>B14/B15</f>
        <v/>
      </c>
    </row>
    <row r="18">
      <c r="A18" s="1" t="inlineStr">
        <is>
          <t>Growth the company can fund</t>
        </is>
      </c>
    </row>
    <row r="19">
      <c r="A19" s="5" t="inlineStr">
        <is>
          <t>ROIC (latest)</t>
        </is>
      </c>
      <c r="B19" s="8">
        <f>K9</f>
        <v/>
      </c>
    </row>
    <row r="20">
      <c r="A20" s="5" t="inlineStr">
        <is>
          <t>Intrinsic growth (RR × ROIC)</t>
        </is>
      </c>
      <c r="B20" s="10">
        <f>B16*B19</f>
        <v/>
      </c>
    </row>
    <row r="21">
      <c r="A21" s="5" t="inlineStr">
        <is>
          <t>Year-1 revenue growth assumed on INPUTS</t>
        </is>
      </c>
      <c r="B21" s="8">
        <f>INPUTS!B20</f>
        <v/>
      </c>
    </row>
    <row r="22">
      <c r="A22" s="5" t="inlineStr">
        <is>
          <t>Terminal growth assumed on INPUTS</t>
        </is>
      </c>
      <c r="B22" s="8">
        <f>INPUTS!$B$11</f>
        <v/>
      </c>
      <c r="C22" s="7" t="inlineStr">
        <is>
          <t>Terminal growth above intrinsic growth assumes the company improves forever — the strongest claim in any DCF</t>
        </is>
      </c>
    </row>
    <row r="23">
      <c r="A23" s="5" t="inlineStr">
        <is>
          <t>Assumed growth vs what the company can fund</t>
        </is>
      </c>
      <c r="B23" s="40">
        <f>IF(B21&lt;=B20,"Within intrinsic growth","Above intrinsic growth — needs margin expansion, better capital efficiency, or a stated reason")</f>
        <v/>
      </c>
      <c r="C23" s="7" t="inlineStr">
        <is>
          <t>Growing faster than RR × ROIC means funding growth from somewhere the record does not show. That is allowed; it is not free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1" customWidth="1" min="3" max="3"/>
    <col width="14" customWidth="1" min="4" max="4"/>
    <col width="12" customWidth="1" min="5" max="5"/>
    <col width="11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3" customWidth="1" min="12" max="12"/>
    <col width="13" customWidth="1" min="13" max="13"/>
    <col width="13" customWidth="1" min="14" max="14"/>
    <col width="46" customWidth="1" min="15" max="15"/>
  </cols>
  <sheetData>
    <row r="1">
      <c r="A1" s="1" t="inlineStr">
        <is>
          <t>RELATIVE PRICING — the whole peer distribution</t>
        </is>
      </c>
    </row>
    <row r="2">
      <c r="A2" s="3" t="inlineStr">
        <is>
          <t>A median alone hides the spread. The quartiles are what the football field is built from.</t>
        </is>
      </c>
    </row>
    <row r="5">
      <c r="A5" s="4" t="inlineStr">
        <is>
          <t>Peer</t>
        </is>
      </c>
      <c r="B5" s="4" t="inlineStr">
        <is>
          <t>Share price</t>
        </is>
      </c>
      <c r="C5" s="4" t="inlineStr">
        <is>
          <t>Shares</t>
        </is>
      </c>
      <c r="D5" s="4" t="inlineStr">
        <is>
          <t>Equity value</t>
        </is>
      </c>
      <c r="E5" s="4" t="inlineStr">
        <is>
          <t>Total debt</t>
        </is>
      </c>
      <c r="F5" s="4" t="inlineStr">
        <is>
          <t>Cash</t>
        </is>
      </c>
      <c r="G5" s="4" t="inlineStr">
        <is>
          <t>Net debt</t>
        </is>
      </c>
      <c r="H5" s="4" t="inlineStr">
        <is>
          <t>Enterprise value</t>
        </is>
      </c>
      <c r="I5" s="4" t="inlineStr">
        <is>
          <t>Revenue</t>
        </is>
      </c>
      <c r="J5" s="4" t="inlineStr">
        <is>
          <t>EBITDA</t>
        </is>
      </c>
      <c r="K5" s="4" t="inlineStr">
        <is>
          <t>Net income</t>
        </is>
      </c>
      <c r="L5" s="4" t="inlineStr">
        <is>
          <t>EV/Revenue</t>
        </is>
      </c>
      <c r="M5" s="4" t="inlineStr">
        <is>
          <t>EV/EBITDA</t>
        </is>
      </c>
      <c r="N5" s="4" t="inlineStr">
        <is>
          <t>P/E</t>
        </is>
      </c>
      <c r="O5" s="4" t="inlineStr">
        <is>
          <t>Source</t>
        </is>
      </c>
    </row>
    <row r="6">
      <c r="A6" s="5" t="inlineStr">
        <is>
          <t>Peer One</t>
        </is>
      </c>
      <c r="B6" s="13" t="n">
        <v>93.38</v>
      </c>
      <c r="C6" s="12" t="n">
        <v>260</v>
      </c>
      <c r="D6" s="18">
        <f>B6*C6</f>
        <v/>
      </c>
      <c r="E6" s="12" t="n">
        <v>1800</v>
      </c>
      <c r="F6" s="12" t="n">
        <v>600</v>
      </c>
      <c r="G6" s="18">
        <f>E6-F6</f>
        <v/>
      </c>
      <c r="H6" s="18">
        <f>D6+G6</f>
        <v/>
      </c>
      <c r="I6" s="12" t="n">
        <v>9800</v>
      </c>
      <c r="J6" s="12" t="n">
        <v>2450</v>
      </c>
      <c r="K6" s="12" t="n">
        <v>1380</v>
      </c>
      <c r="L6" s="39">
        <f>H6/I6</f>
        <v/>
      </c>
      <c r="M6" s="39">
        <f>H6/J6</f>
        <v/>
      </c>
      <c r="N6" s="39">
        <f>D6/K6</f>
        <v/>
      </c>
      <c r="O6" s="7" t="inlineStr">
        <is>
          <t>exchange data and FY2025 accounts, 2026-10-16</t>
        </is>
      </c>
    </row>
    <row r="7">
      <c r="A7" s="5" t="inlineStr">
        <is>
          <t>Peer Two</t>
        </is>
      </c>
      <c r="B7" s="13" t="n">
        <v>209.21</v>
      </c>
      <c r="C7" s="12" t="n">
        <v>240</v>
      </c>
      <c r="D7" s="18">
        <f>B7*C7</f>
        <v/>
      </c>
      <c r="E7" s="12" t="n">
        <v>900</v>
      </c>
      <c r="F7" s="12" t="n">
        <v>1500</v>
      </c>
      <c r="G7" s="18">
        <f>E7-F7</f>
        <v/>
      </c>
      <c r="H7" s="18">
        <f>D7+G7</f>
        <v/>
      </c>
      <c r="I7" s="12" t="n">
        <v>14200</v>
      </c>
      <c r="J7" s="12" t="n">
        <v>4100</v>
      </c>
      <c r="K7" s="12" t="n">
        <v>2560</v>
      </c>
      <c r="L7" s="39">
        <f>H7/I7</f>
        <v/>
      </c>
      <c r="M7" s="39">
        <f>H7/J7</f>
        <v/>
      </c>
      <c r="N7" s="39">
        <f>D7/K7</f>
        <v/>
      </c>
      <c r="O7" s="7" t="inlineStr">
        <is>
          <t>exchange data and FY2025 accounts, 2026-10-16</t>
        </is>
      </c>
    </row>
    <row r="8">
      <c r="A8" s="5" t="inlineStr">
        <is>
          <t>Peer Three</t>
        </is>
      </c>
      <c r="B8" s="13" t="n">
        <v>44.18</v>
      </c>
      <c r="C8" s="12" t="n">
        <v>310</v>
      </c>
      <c r="D8" s="18">
        <f>B8*C8</f>
        <v/>
      </c>
      <c r="E8" s="12" t="n">
        <v>3100</v>
      </c>
      <c r="F8" s="12" t="n">
        <v>420</v>
      </c>
      <c r="G8" s="18">
        <f>E8-F8</f>
        <v/>
      </c>
      <c r="H8" s="18">
        <f>D8+G8</f>
        <v/>
      </c>
      <c r="I8" s="12" t="n">
        <v>8100</v>
      </c>
      <c r="J8" s="12" t="n">
        <v>1780</v>
      </c>
      <c r="K8" s="12" t="n">
        <v>860</v>
      </c>
      <c r="L8" s="39">
        <f>H8/I8</f>
        <v/>
      </c>
      <c r="M8" s="39">
        <f>H8/J8</f>
        <v/>
      </c>
      <c r="N8" s="39">
        <f>D8/K8</f>
        <v/>
      </c>
      <c r="O8" s="7" t="inlineStr">
        <is>
          <t>exchange data and FY2025 accounts, 2026-10-16</t>
        </is>
      </c>
    </row>
    <row r="9">
      <c r="A9" s="5" t="inlineStr">
        <is>
          <t>Peer Four</t>
        </is>
      </c>
      <c r="B9" s="13" t="n">
        <v>112.64</v>
      </c>
      <c r="C9" s="12" t="n">
        <v>180</v>
      </c>
      <c r="D9" s="18">
        <f>B9*C9</f>
        <v/>
      </c>
      <c r="E9" s="12" t="n">
        <v>2200</v>
      </c>
      <c r="F9" s="12" t="n">
        <v>780</v>
      </c>
      <c r="G9" s="18">
        <f>E9-F9</f>
        <v/>
      </c>
      <c r="H9" s="18">
        <f>D9+G9</f>
        <v/>
      </c>
      <c r="I9" s="12" t="n">
        <v>7400</v>
      </c>
      <c r="J9" s="12" t="n">
        <v>1920</v>
      </c>
      <c r="K9" s="12" t="n">
        <v>1010</v>
      </c>
      <c r="L9" s="39">
        <f>H9/I9</f>
        <v/>
      </c>
      <c r="M9" s="39">
        <f>H9/J9</f>
        <v/>
      </c>
      <c r="N9" s="39">
        <f>D9/K9</f>
        <v/>
      </c>
      <c r="O9" s="7" t="inlineStr">
        <is>
          <t>exchange data and FY2025 accounts, 2026-10-16</t>
        </is>
      </c>
    </row>
    <row r="10">
      <c r="A10" s="5" t="inlineStr">
        <is>
          <t>Peer Five</t>
        </is>
      </c>
      <c r="B10" s="13" t="n">
        <v>27.29</v>
      </c>
      <c r="C10" s="12" t="n">
        <v>390</v>
      </c>
      <c r="D10" s="18">
        <f>B10*C10</f>
        <v/>
      </c>
      <c r="E10" s="12" t="n">
        <v>1500</v>
      </c>
      <c r="F10" s="12" t="n">
        <v>350</v>
      </c>
      <c r="G10" s="18">
        <f>E10-F10</f>
        <v/>
      </c>
      <c r="H10" s="18">
        <f>D10+G10</f>
        <v/>
      </c>
      <c r="I10" s="12" t="n">
        <v>6200</v>
      </c>
      <c r="J10" s="12" t="n">
        <v>1340</v>
      </c>
      <c r="K10" s="12" t="n">
        <v>640</v>
      </c>
      <c r="L10" s="39">
        <f>H10/I10</f>
        <v/>
      </c>
      <c r="M10" s="39">
        <f>H10/J10</f>
        <v/>
      </c>
      <c r="N10" s="39">
        <f>D10/K10</f>
        <v/>
      </c>
      <c r="O10" s="7" t="inlineStr">
        <is>
          <t>exchange data and FY2025 accounts, 2026-10-16</t>
        </is>
      </c>
    </row>
    <row r="11">
      <c r="A11" s="5" t="inlineStr">
        <is>
          <t>Peer Six</t>
        </is>
      </c>
      <c r="B11" s="13" t="n">
        <v>168.25</v>
      </c>
      <c r="C11" s="12" t="n">
        <v>120</v>
      </c>
      <c r="D11" s="18">
        <f>B11*C11</f>
        <v/>
      </c>
      <c r="E11" s="12" t="n">
        <v>600</v>
      </c>
      <c r="F11" s="12" t="n">
        <v>900</v>
      </c>
      <c r="G11" s="18">
        <f>E11-F11</f>
        <v/>
      </c>
      <c r="H11" s="18">
        <f>D11+G11</f>
        <v/>
      </c>
      <c r="I11" s="12" t="n">
        <v>5100</v>
      </c>
      <c r="J11" s="12" t="n">
        <v>1530</v>
      </c>
      <c r="K11" s="12" t="n">
        <v>980</v>
      </c>
      <c r="L11" s="39">
        <f>H11/I11</f>
        <v/>
      </c>
      <c r="M11" s="39">
        <f>H11/J11</f>
        <v/>
      </c>
      <c r="N11" s="39">
        <f>D11/K11</f>
        <v/>
      </c>
      <c r="O11" s="7" t="inlineStr">
        <is>
          <t>exchange data and FY2025 accounts, 2026-10-16</t>
        </is>
      </c>
    </row>
    <row r="13">
      <c r="A13" s="5" t="inlineStr">
        <is>
          <t>High</t>
        </is>
      </c>
      <c r="L13" s="39">
        <f>MAX(L6:L11)</f>
        <v/>
      </c>
      <c r="M13" s="39">
        <f>MAX(M6:M11)</f>
        <v/>
      </c>
      <c r="N13" s="39">
        <f>MAX(N6:N11)</f>
        <v/>
      </c>
    </row>
    <row r="14">
      <c r="A14" s="5" t="inlineStr">
        <is>
          <t>75th percentile</t>
        </is>
      </c>
      <c r="L14" s="41">
        <f>SMALL(L6:L11,5)+0.25*(SMALL(L6:L11,6)-SMALL(L6:L11,5))</f>
        <v/>
      </c>
      <c r="M14" s="41">
        <f>SMALL(M6:M11,5)+0.25*(SMALL(M6:M11,6)-SMALL(M6:M11,5))</f>
        <v/>
      </c>
      <c r="N14" s="41">
        <f>SMALL(N6:N11,5)+0.25*(SMALL(N6:N11,6)-SMALL(N6:N11,5))</f>
        <v/>
      </c>
    </row>
    <row r="15">
      <c r="A15" s="5" t="inlineStr">
        <is>
          <t>Average</t>
        </is>
      </c>
      <c r="L15" s="39">
        <f>AVERAGE(L6:L11)</f>
        <v/>
      </c>
      <c r="M15" s="39">
        <f>AVERAGE(M6:M11)</f>
        <v/>
      </c>
      <c r="N15" s="39">
        <f>AVERAGE(N6:N11)</f>
        <v/>
      </c>
    </row>
    <row r="16">
      <c r="A16" s="5" t="inlineStr">
        <is>
          <t>Median</t>
        </is>
      </c>
      <c r="L16" s="41">
        <f>MEDIAN(L6:L11)</f>
        <v/>
      </c>
      <c r="M16" s="41">
        <f>MEDIAN(M6:M11)</f>
        <v/>
      </c>
      <c r="N16" s="41">
        <f>MEDIAN(N6:N11)</f>
        <v/>
      </c>
    </row>
    <row r="17">
      <c r="A17" s="5" t="inlineStr">
        <is>
          <t>25th percentile</t>
        </is>
      </c>
      <c r="L17" s="41">
        <f>SMALL(L6:L11,1)+0.75*(SMALL(L6:L11,2)-SMALL(L6:L11,1))</f>
        <v/>
      </c>
      <c r="M17" s="41">
        <f>SMALL(M6:M11,1)+0.75*(SMALL(M6:M11,2)-SMALL(M6:M11,1))</f>
        <v/>
      </c>
      <c r="N17" s="41">
        <f>SMALL(N6:N11,1)+0.75*(SMALL(N6:N11,2)-SMALL(N6:N11,1))</f>
        <v/>
      </c>
    </row>
    <row r="18">
      <c r="A18" s="5" t="inlineStr">
        <is>
          <t>Low</t>
        </is>
      </c>
      <c r="L18" s="39">
        <f>MIN(L6:L11)</f>
        <v/>
      </c>
      <c r="M18" s="39">
        <f>MIN(M6:M11)</f>
        <v/>
      </c>
      <c r="N18" s="39">
        <f>MIN(N6:N11)</f>
        <v/>
      </c>
    </row>
    <row r="20">
      <c r="A20" s="1" t="inlineStr">
        <is>
          <t>The subject company</t>
        </is>
      </c>
    </row>
    <row r="21">
      <c r="A21" s="5" t="inlineStr">
        <is>
          <t>Revenue (NTM)</t>
        </is>
      </c>
      <c r="B21" s="12" t="n">
        <v>4601</v>
      </c>
      <c r="C21" s="7" t="inlineStr">
        <is>
          <t>On the same basis as the peers above — forward figures against forward multiples, or the comparison is meaningless</t>
        </is>
      </c>
    </row>
    <row r="22">
      <c r="A22" s="5" t="inlineStr">
        <is>
          <t>EBITDA (NTM)</t>
        </is>
      </c>
      <c r="B22" s="12" t="n">
        <v>1205.5</v>
      </c>
    </row>
    <row r="23">
      <c r="A23" s="5" t="inlineStr">
        <is>
          <t>Net income (NTM)</t>
        </is>
      </c>
      <c r="B23" s="12" t="n">
        <v>690.2</v>
      </c>
    </row>
    <row r="24">
      <c r="A24" s="5" t="inlineStr">
        <is>
          <t>Net debt</t>
        </is>
      </c>
      <c r="B24" s="12" t="n">
        <v>1150</v>
      </c>
    </row>
    <row r="25">
      <c r="A25" s="5" t="inlineStr">
        <is>
          <t>Shares outstanding</t>
        </is>
      </c>
      <c r="B25" s="12" t="n">
        <v>420</v>
      </c>
    </row>
    <row r="27">
      <c r="A27" s="42" t="inlineStr">
        <is>
          <t>Implied value per share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>
        <is>
          <t>EV/Revenue</t>
        </is>
      </c>
      <c r="M27" s="4" t="inlineStr">
        <is>
          <t>EV/EBITDA</t>
        </is>
      </c>
      <c r="N27" s="4" t="inlineStr">
        <is>
          <t>P/E</t>
        </is>
      </c>
    </row>
    <row r="28">
      <c r="A28" s="5" t="inlineStr">
        <is>
          <t>At the 25th percentile</t>
        </is>
      </c>
      <c r="L28" s="38">
        <f>(L17*B21-B24)/B25</f>
        <v/>
      </c>
      <c r="M28" s="38">
        <f>(M17*B22-B24)/B25</f>
        <v/>
      </c>
      <c r="N28" s="38">
        <f>N17*B23/B25</f>
        <v/>
      </c>
    </row>
    <row r="29">
      <c r="A29" s="5" t="inlineStr">
        <is>
          <t>At the median</t>
        </is>
      </c>
      <c r="L29" s="38">
        <f>(L16*B21-B24)/B25</f>
        <v/>
      </c>
      <c r="M29" s="37">
        <f>(M16*B22-B24)/B25</f>
        <v/>
      </c>
      <c r="N29" s="38">
        <f>N16*B23/B25</f>
        <v/>
      </c>
    </row>
    <row r="30">
      <c r="A30" s="5" t="inlineStr">
        <is>
          <t>At the 75th percentile</t>
        </is>
      </c>
      <c r="L30" s="38">
        <f>(L14*B21-B24)/B25</f>
        <v/>
      </c>
      <c r="M30" s="38">
        <f>(M14*B22-B24)/B25</f>
        <v/>
      </c>
      <c r="N30" s="38">
        <f>N14*B23/B25</f>
        <v/>
      </c>
      <c r="O30" s="7" t="inlineStr">
        <is>
          <t>P/E needs no net debt adjustment — earnings are already after interest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SENSITIVITY — value per share: WACC vs Terminal growth rate</t>
        </is>
      </c>
    </row>
    <row r="2">
      <c r="A2" s="3" t="inlineStr">
        <is>
          <t>Axis values are driven off INPUTS by the step cells (B16/B17). Change a step and the grid re-spaces itself.</t>
        </is>
      </c>
    </row>
    <row r="3">
      <c r="B3" s="2" t="inlineStr">
        <is>
          <t>WACC ↓ / Terminal growth rate →</t>
        </is>
      </c>
    </row>
    <row r="4">
      <c r="C4" s="43">
        <f>INPUTS!$B$11+(COLUMN(C4)-5)*INPUTS!$B$17</f>
        <v/>
      </c>
      <c r="D4" s="43">
        <f>INPUTS!$B$11+(COLUMN(D4)-5)*INPUTS!$B$17</f>
        <v/>
      </c>
      <c r="E4" s="43">
        <f>INPUTS!$B$11+(COLUMN(E4)-5)*INPUTS!$B$17</f>
        <v/>
      </c>
      <c r="F4" s="43">
        <f>INPUTS!$B$11+(COLUMN(F4)-5)*INPUTS!$B$17</f>
        <v/>
      </c>
      <c r="G4" s="43">
        <f>INPUTS!$B$11+(COLUMN(G4)-5)*INPUTS!$B$17</f>
        <v/>
      </c>
    </row>
    <row r="5">
      <c r="B5" s="43">
        <f>INPUTS!$B$10+(ROW(B5)-7)*INPUTS!$B$16</f>
        <v/>
      </c>
      <c r="C5" s="38">
        <f>IF($B5&lt;=C$4,NA(),(SUMPRODUCT($B24:$H24,1/(1+$B5)^VALUATION!$B$5:$H$5)+$H24*(1+C$4)/($B5-C$4)/(1+$B5)^VALUATION!$H$5-INPUTS!$B$13)/INPUTS!$B$14)</f>
        <v/>
      </c>
      <c r="D5" s="38">
        <f>IF($B5&lt;=D$4,NA(),(SUMPRODUCT($B37:$H37,1/(1+$B5)^VALUATION!$B$5:$H$5)+$H37*(1+D$4)/($B5-D$4)/(1+$B5)^VALUATION!$H$5-INPUTS!$B$13)/INPUTS!$B$14)</f>
        <v/>
      </c>
      <c r="E5" s="38">
        <f>IF($B5&lt;=E$4,NA(),(SUMPRODUCT($B50:$H50,1/(1+$B5)^VALUATION!$B$5:$H$5)+$H50*(1+E$4)/($B5-E$4)/(1+$B5)^VALUATION!$H$5-INPUTS!$B$13)/INPUTS!$B$14)</f>
        <v/>
      </c>
      <c r="F5" s="38">
        <f>IF($B5&lt;=F$4,NA(),(SUMPRODUCT($B63:$H63,1/(1+$B5)^VALUATION!$B$5:$H$5)+$H63*(1+F$4)/($B5-F$4)/(1+$B5)^VALUATION!$H$5-INPUTS!$B$13)/INPUTS!$B$14)</f>
        <v/>
      </c>
      <c r="G5" s="38">
        <f>IF($B5&lt;=G$4,NA(),(SUMPRODUCT($B76:$H76,1/(1+$B5)^VALUATION!$B$5:$H$5)+$H76*(1+G$4)/($B5-G$4)/(1+$B5)^VALUATION!$H$5-INPUTS!$B$13)/INPUTS!$B$14)</f>
        <v/>
      </c>
    </row>
    <row r="6">
      <c r="B6" s="43">
        <f>INPUTS!$B$10+(ROW(B6)-7)*INPUTS!$B$16</f>
        <v/>
      </c>
      <c r="C6" s="38">
        <f>IF($B6&lt;=C$4,NA(),(SUMPRODUCT($B24:$H24,1/(1+$B6)^VALUATION!$B$5:$H$5)+$H24*(1+C$4)/($B6-C$4)/(1+$B6)^VALUATION!$H$5-INPUTS!$B$13)/INPUTS!$B$14)</f>
        <v/>
      </c>
      <c r="D6" s="38">
        <f>IF($B6&lt;=D$4,NA(),(SUMPRODUCT($B37:$H37,1/(1+$B6)^VALUATION!$B$5:$H$5)+$H37*(1+D$4)/($B6-D$4)/(1+$B6)^VALUATION!$H$5-INPUTS!$B$13)/INPUTS!$B$14)</f>
        <v/>
      </c>
      <c r="E6" s="38">
        <f>IF($B6&lt;=E$4,NA(),(SUMPRODUCT($B50:$H50,1/(1+$B6)^VALUATION!$B$5:$H$5)+$H50*(1+E$4)/($B6-E$4)/(1+$B6)^VALUATION!$H$5-INPUTS!$B$13)/INPUTS!$B$14)</f>
        <v/>
      </c>
      <c r="F6" s="38">
        <f>IF($B6&lt;=F$4,NA(),(SUMPRODUCT($B63:$H63,1/(1+$B6)^VALUATION!$B$5:$H$5)+$H63*(1+F$4)/($B6-F$4)/(1+$B6)^VALUATION!$H$5-INPUTS!$B$13)/INPUTS!$B$14)</f>
        <v/>
      </c>
      <c r="G6" s="38">
        <f>IF($B6&lt;=G$4,NA(),(SUMPRODUCT($B76:$H76,1/(1+$B6)^VALUATION!$B$5:$H$5)+$H76*(1+G$4)/($B6-G$4)/(1+$B6)^VALUATION!$H$5-INPUTS!$B$13)/INPUTS!$B$14)</f>
        <v/>
      </c>
    </row>
    <row r="7">
      <c r="B7" s="43">
        <f>INPUTS!$B$10+(ROW(B7)-7)*INPUTS!$B$16</f>
        <v/>
      </c>
      <c r="C7" s="38">
        <f>IF($B7&lt;=C$4,NA(),(SUMPRODUCT($B24:$H24,1/(1+$B7)^VALUATION!$B$5:$H$5)+$H24*(1+C$4)/($B7-C$4)/(1+$B7)^VALUATION!$H$5-INPUTS!$B$13)/INPUTS!$B$14)</f>
        <v/>
      </c>
      <c r="D7" s="38">
        <f>IF($B7&lt;=D$4,NA(),(SUMPRODUCT($B37:$H37,1/(1+$B7)^VALUATION!$B$5:$H$5)+$H37*(1+D$4)/($B7-D$4)/(1+$B7)^VALUATION!$H$5-INPUTS!$B$13)/INPUTS!$B$14)</f>
        <v/>
      </c>
      <c r="E7" s="37">
        <f>IF($B7&lt;=E$4,NA(),(SUMPRODUCT($B50:$H50,1/(1+$B7)^VALUATION!$B$5:$H$5)+$H50*(1+E$4)/($B7-E$4)/(1+$B7)^VALUATION!$H$5-INPUTS!$B$13)/INPUTS!$B$14)</f>
        <v/>
      </c>
      <c r="F7" s="38">
        <f>IF($B7&lt;=F$4,NA(),(SUMPRODUCT($B63:$H63,1/(1+$B7)^VALUATION!$B$5:$H$5)+$H63*(1+F$4)/($B7-F$4)/(1+$B7)^VALUATION!$H$5-INPUTS!$B$13)/INPUTS!$B$14)</f>
        <v/>
      </c>
      <c r="G7" s="38">
        <f>IF($B7&lt;=G$4,NA(),(SUMPRODUCT($B76:$H76,1/(1+$B7)^VALUATION!$B$5:$H$5)+$H76*(1+G$4)/($B7-G$4)/(1+$B7)^VALUATION!$H$5-INPUTS!$B$13)/INPUTS!$B$14)</f>
        <v/>
      </c>
    </row>
    <row r="8">
      <c r="B8" s="43">
        <f>INPUTS!$B$10+(ROW(B8)-7)*INPUTS!$B$16</f>
        <v/>
      </c>
      <c r="C8" s="38">
        <f>IF($B8&lt;=C$4,NA(),(SUMPRODUCT($B24:$H24,1/(1+$B8)^VALUATION!$B$5:$H$5)+$H24*(1+C$4)/($B8-C$4)/(1+$B8)^VALUATION!$H$5-INPUTS!$B$13)/INPUTS!$B$14)</f>
        <v/>
      </c>
      <c r="D8" s="38">
        <f>IF($B8&lt;=D$4,NA(),(SUMPRODUCT($B37:$H37,1/(1+$B8)^VALUATION!$B$5:$H$5)+$H37*(1+D$4)/($B8-D$4)/(1+$B8)^VALUATION!$H$5-INPUTS!$B$13)/INPUTS!$B$14)</f>
        <v/>
      </c>
      <c r="E8" s="38">
        <f>IF($B8&lt;=E$4,NA(),(SUMPRODUCT($B50:$H50,1/(1+$B8)^VALUATION!$B$5:$H$5)+$H50*(1+E$4)/($B8-E$4)/(1+$B8)^VALUATION!$H$5-INPUTS!$B$13)/INPUTS!$B$14)</f>
        <v/>
      </c>
      <c r="F8" s="38">
        <f>IF($B8&lt;=F$4,NA(),(SUMPRODUCT($B63:$H63,1/(1+$B8)^VALUATION!$B$5:$H$5)+$H63*(1+F$4)/($B8-F$4)/(1+$B8)^VALUATION!$H$5-INPUTS!$B$13)/INPUTS!$B$14)</f>
        <v/>
      </c>
      <c r="G8" s="38">
        <f>IF($B8&lt;=G$4,NA(),(SUMPRODUCT($B76:$H76,1/(1+$B8)^VALUATION!$B$5:$H$5)+$H76*(1+G$4)/($B8-G$4)/(1+$B8)^VALUATION!$H$5-INPUTS!$B$13)/INPUTS!$B$14)</f>
        <v/>
      </c>
    </row>
    <row r="9">
      <c r="B9" s="43">
        <f>INPUTS!$B$10+(ROW(B9)-7)*INPUTS!$B$16</f>
        <v/>
      </c>
      <c r="C9" s="38">
        <f>IF($B9&lt;=C$4,NA(),(SUMPRODUCT($B24:$H24,1/(1+$B9)^VALUATION!$B$5:$H$5)+$H24*(1+C$4)/($B9-C$4)/(1+$B9)^VALUATION!$H$5-INPUTS!$B$13)/INPUTS!$B$14)</f>
        <v/>
      </c>
      <c r="D9" s="38">
        <f>IF($B9&lt;=D$4,NA(),(SUMPRODUCT($B37:$H37,1/(1+$B9)^VALUATION!$B$5:$H$5)+$H37*(1+D$4)/($B9-D$4)/(1+$B9)^VALUATION!$H$5-INPUTS!$B$13)/INPUTS!$B$14)</f>
        <v/>
      </c>
      <c r="E9" s="38">
        <f>IF($B9&lt;=E$4,NA(),(SUMPRODUCT($B50:$H50,1/(1+$B9)^VALUATION!$B$5:$H$5)+$H50*(1+E$4)/($B9-E$4)/(1+$B9)^VALUATION!$H$5-INPUTS!$B$13)/INPUTS!$B$14)</f>
        <v/>
      </c>
      <c r="F9" s="38">
        <f>IF($B9&lt;=F$4,NA(),(SUMPRODUCT($B63:$H63,1/(1+$B9)^VALUATION!$B$5:$H$5)+$H63*(1+F$4)/($B9-F$4)/(1+$B9)^VALUATION!$H$5-INPUTS!$B$13)/INPUTS!$B$14)</f>
        <v/>
      </c>
      <c r="G9" s="38">
        <f>IF($B9&lt;=G$4,NA(),(SUMPRODUCT($B76:$H76,1/(1+$B9)^VALUATION!$B$5:$H$5)+$H76*(1+G$4)/($B9-G$4)/(1+$B9)^VALUATION!$H$5-INPUTS!$B$13)/INPUTS!$B$14)</f>
        <v/>
      </c>
    </row>
    <row r="11">
      <c r="B11" s="3" t="inlineStr">
        <is>
          <t>Shaded centre cell = base case; it must equal VALUATION value per share (CHECKS verifies this).</t>
        </is>
      </c>
    </row>
    <row r="14">
      <c r="A14" s="3" t="inlineStr">
        <is>
          <t>Helper blocks — one formula-driven projection per grid column (that column's shift applied to the INPUTS driver).</t>
        </is>
      </c>
    </row>
    <row r="16">
      <c r="A16" s="2" t="inlineStr">
        <is>
          <t xml:space="preserve">Column 1: Terminal growth rate = </t>
        </is>
      </c>
      <c r="B16" s="44">
        <f>C$4</f>
        <v/>
      </c>
    </row>
    <row r="17">
      <c r="A17" s="3" t="inlineStr">
        <is>
          <t>Revenue</t>
        </is>
      </c>
      <c r="B17" s="18">
        <f>HISTORICALS!$K$4*(1+INPUTS!B$22)</f>
        <v/>
      </c>
      <c r="C17" s="18">
        <f>B17*(1+INPUTS!C$22)</f>
        <v/>
      </c>
      <c r="D17" s="18">
        <f>C17*(1+INPUTS!D$22)</f>
        <v/>
      </c>
      <c r="E17" s="18">
        <f>D17*(1+INPUTS!E$22)</f>
        <v/>
      </c>
      <c r="F17" s="18">
        <f>E17*(1+INPUTS!F$22)</f>
        <v/>
      </c>
      <c r="G17" s="18">
        <f>F17*(1+INPUTS!G$22)</f>
        <v/>
      </c>
      <c r="H17" s="18">
        <f>G17*(1+INPUTS!H$22)</f>
        <v/>
      </c>
    </row>
    <row r="18">
      <c r="A18" s="3" t="inlineStr">
        <is>
          <t>EBIT</t>
        </is>
      </c>
      <c r="B18" s="18">
        <f>B17*(INPUTS!B$23)</f>
        <v/>
      </c>
      <c r="C18" s="18">
        <f>C17*(INPUTS!C$23)</f>
        <v/>
      </c>
      <c r="D18" s="18">
        <f>D17*(INPUTS!D$23)</f>
        <v/>
      </c>
      <c r="E18" s="18">
        <f>E17*(INPUTS!E$23)</f>
        <v/>
      </c>
      <c r="F18" s="18">
        <f>F17*(INPUTS!F$23)</f>
        <v/>
      </c>
      <c r="G18" s="18">
        <f>G17*(INPUTS!G$23)</f>
        <v/>
      </c>
      <c r="H18" s="18">
        <f>H17*(INPUTS!H$23)</f>
        <v/>
      </c>
    </row>
    <row r="19">
      <c r="A19" s="3" t="inlineStr">
        <is>
          <t>NOPAT</t>
        </is>
      </c>
      <c r="B19" s="18">
        <f>B18*(1-INPUTS!$B$4)</f>
        <v/>
      </c>
      <c r="C19" s="18">
        <f>C18*(1-INPUTS!$B$4)</f>
        <v/>
      </c>
      <c r="D19" s="18">
        <f>D18*(1-INPUTS!$B$4)</f>
        <v/>
      </c>
      <c r="E19" s="18">
        <f>E18*(1-INPUTS!$B$4)</f>
        <v/>
      </c>
      <c r="F19" s="18">
        <f>F18*(1-INPUTS!$B$4)</f>
        <v/>
      </c>
      <c r="G19" s="18">
        <f>G18*(1-INPUTS!$B$4)</f>
        <v/>
      </c>
      <c r="H19" s="18">
        <f>H18*(1-INPUTS!$B$4)</f>
        <v/>
      </c>
    </row>
    <row r="20">
      <c r="A20" s="3" t="inlineStr">
        <is>
          <t>D&amp;A</t>
        </is>
      </c>
      <c r="B20" s="18">
        <f>B17*INPUTS!B$24</f>
        <v/>
      </c>
      <c r="C20" s="18">
        <f>C17*INPUTS!C$24</f>
        <v/>
      </c>
      <c r="D20" s="18">
        <f>D17*INPUTS!D$24</f>
        <v/>
      </c>
      <c r="E20" s="18">
        <f>E17*INPUTS!E$24</f>
        <v/>
      </c>
      <c r="F20" s="18">
        <f>F17*INPUTS!F$24</f>
        <v/>
      </c>
      <c r="G20" s="18">
        <f>G17*INPUTS!G$24</f>
        <v/>
      </c>
      <c r="H20" s="18">
        <f>H17*INPUTS!H$24</f>
        <v/>
      </c>
    </row>
    <row r="21">
      <c r="A21" s="3" t="inlineStr">
        <is>
          <t>Capex</t>
        </is>
      </c>
      <c r="B21" s="18">
        <f>B17*INPUTS!B$25</f>
        <v/>
      </c>
      <c r="C21" s="18">
        <f>C17*INPUTS!C$25</f>
        <v/>
      </c>
      <c r="D21" s="18">
        <f>D17*INPUTS!D$25</f>
        <v/>
      </c>
      <c r="E21" s="18">
        <f>E17*INPUTS!E$25</f>
        <v/>
      </c>
      <c r="F21" s="18">
        <f>F17*INPUTS!F$25</f>
        <v/>
      </c>
      <c r="G21" s="18">
        <f>G17*INPUTS!G$25</f>
        <v/>
      </c>
      <c r="H21" s="18">
        <f>H17*INPUTS!H$25</f>
        <v/>
      </c>
    </row>
    <row r="22">
      <c r="A22" s="3" t="inlineStr">
        <is>
          <t>NWC balance</t>
        </is>
      </c>
      <c r="B22" s="18">
        <f>B17*INPUTS!B$26</f>
        <v/>
      </c>
      <c r="C22" s="18">
        <f>C17*INPUTS!C$26</f>
        <v/>
      </c>
      <c r="D22" s="18">
        <f>D17*INPUTS!D$26</f>
        <v/>
      </c>
      <c r="E22" s="18">
        <f>E17*INPUTS!E$26</f>
        <v/>
      </c>
      <c r="F22" s="18">
        <f>F17*INPUTS!F$26</f>
        <v/>
      </c>
      <c r="G22" s="18">
        <f>G17*INPUTS!G$26</f>
        <v/>
      </c>
      <c r="H22" s="18">
        <f>H17*INPUTS!H$26</f>
        <v/>
      </c>
    </row>
    <row r="23">
      <c r="A23" s="3" t="inlineStr">
        <is>
          <t>Change in NWC</t>
        </is>
      </c>
      <c r="B23" s="18">
        <f>B22-HISTORICALS!$K$9</f>
        <v/>
      </c>
      <c r="C23" s="18">
        <f>C22-B22</f>
        <v/>
      </c>
      <c r="D23" s="18">
        <f>D22-C22</f>
        <v/>
      </c>
      <c r="E23" s="18">
        <f>E22-D22</f>
        <v/>
      </c>
      <c r="F23" s="18">
        <f>F22-E22</f>
        <v/>
      </c>
      <c r="G23" s="18">
        <f>G22-F22</f>
        <v/>
      </c>
      <c r="H23" s="18">
        <f>H22-G22</f>
        <v/>
      </c>
    </row>
    <row r="24">
      <c r="A24" s="3" t="inlineStr">
        <is>
          <t>Unlevered FCF</t>
        </is>
      </c>
      <c r="B24" s="18">
        <f>B19+B20-B21-B23</f>
        <v/>
      </c>
      <c r="C24" s="18">
        <f>C19+C20-C21-C23</f>
        <v/>
      </c>
      <c r="D24" s="18">
        <f>D19+D20-D21-D23</f>
        <v/>
      </c>
      <c r="E24" s="18">
        <f>E19+E20-E21-E23</f>
        <v/>
      </c>
      <c r="F24" s="18">
        <f>F19+F20-F21-F23</f>
        <v/>
      </c>
      <c r="G24" s="18">
        <f>G19+G20-G21-G23</f>
        <v/>
      </c>
      <c r="H24" s="18">
        <f>H19+H20-H21-H23</f>
        <v/>
      </c>
    </row>
    <row r="29">
      <c r="A29" s="2" t="inlineStr">
        <is>
          <t xml:space="preserve">Column 2: Terminal growth rate = </t>
        </is>
      </c>
      <c r="B29" s="44">
        <f>D$4</f>
        <v/>
      </c>
    </row>
    <row r="30">
      <c r="A30" s="3" t="inlineStr">
        <is>
          <t>Revenue</t>
        </is>
      </c>
      <c r="B30" s="18">
        <f>HISTORICALS!$K$4*(1+INPUTS!B$22)</f>
        <v/>
      </c>
      <c r="C30" s="18">
        <f>B30*(1+INPUTS!C$22)</f>
        <v/>
      </c>
      <c r="D30" s="18">
        <f>C30*(1+INPUTS!D$22)</f>
        <v/>
      </c>
      <c r="E30" s="18">
        <f>D30*(1+INPUTS!E$22)</f>
        <v/>
      </c>
      <c r="F30" s="18">
        <f>E30*(1+INPUTS!F$22)</f>
        <v/>
      </c>
      <c r="G30" s="18">
        <f>F30*(1+INPUTS!G$22)</f>
        <v/>
      </c>
      <c r="H30" s="18">
        <f>G30*(1+INPUTS!H$22)</f>
        <v/>
      </c>
    </row>
    <row r="31">
      <c r="A31" s="3" t="inlineStr">
        <is>
          <t>EBIT</t>
        </is>
      </c>
      <c r="B31" s="18">
        <f>B30*(INPUTS!B$23)</f>
        <v/>
      </c>
      <c r="C31" s="18">
        <f>C30*(INPUTS!C$23)</f>
        <v/>
      </c>
      <c r="D31" s="18">
        <f>D30*(INPUTS!D$23)</f>
        <v/>
      </c>
      <c r="E31" s="18">
        <f>E30*(INPUTS!E$23)</f>
        <v/>
      </c>
      <c r="F31" s="18">
        <f>F30*(INPUTS!F$23)</f>
        <v/>
      </c>
      <c r="G31" s="18">
        <f>G30*(INPUTS!G$23)</f>
        <v/>
      </c>
      <c r="H31" s="18">
        <f>H30*(INPUTS!H$23)</f>
        <v/>
      </c>
    </row>
    <row r="32">
      <c r="A32" s="3" t="inlineStr">
        <is>
          <t>NOPAT</t>
        </is>
      </c>
      <c r="B32" s="18">
        <f>B31*(1-INPUTS!$B$4)</f>
        <v/>
      </c>
      <c r="C32" s="18">
        <f>C31*(1-INPUTS!$B$4)</f>
        <v/>
      </c>
      <c r="D32" s="18">
        <f>D31*(1-INPUTS!$B$4)</f>
        <v/>
      </c>
      <c r="E32" s="18">
        <f>E31*(1-INPUTS!$B$4)</f>
        <v/>
      </c>
      <c r="F32" s="18">
        <f>F31*(1-INPUTS!$B$4)</f>
        <v/>
      </c>
      <c r="G32" s="18">
        <f>G31*(1-INPUTS!$B$4)</f>
        <v/>
      </c>
      <c r="H32" s="18">
        <f>H31*(1-INPUTS!$B$4)</f>
        <v/>
      </c>
    </row>
    <row r="33">
      <c r="A33" s="3" t="inlineStr">
        <is>
          <t>D&amp;A</t>
        </is>
      </c>
      <c r="B33" s="18">
        <f>B30*INPUTS!B$24</f>
        <v/>
      </c>
      <c r="C33" s="18">
        <f>C30*INPUTS!C$24</f>
        <v/>
      </c>
      <c r="D33" s="18">
        <f>D30*INPUTS!D$24</f>
        <v/>
      </c>
      <c r="E33" s="18">
        <f>E30*INPUTS!E$24</f>
        <v/>
      </c>
      <c r="F33" s="18">
        <f>F30*INPUTS!F$24</f>
        <v/>
      </c>
      <c r="G33" s="18">
        <f>G30*INPUTS!G$24</f>
        <v/>
      </c>
      <c r="H33" s="18">
        <f>H30*INPUTS!H$24</f>
        <v/>
      </c>
    </row>
    <row r="34">
      <c r="A34" s="3" t="inlineStr">
        <is>
          <t>Capex</t>
        </is>
      </c>
      <c r="B34" s="18">
        <f>B30*INPUTS!B$25</f>
        <v/>
      </c>
      <c r="C34" s="18">
        <f>C30*INPUTS!C$25</f>
        <v/>
      </c>
      <c r="D34" s="18">
        <f>D30*INPUTS!D$25</f>
        <v/>
      </c>
      <c r="E34" s="18">
        <f>E30*INPUTS!E$25</f>
        <v/>
      </c>
      <c r="F34" s="18">
        <f>F30*INPUTS!F$25</f>
        <v/>
      </c>
      <c r="G34" s="18">
        <f>G30*INPUTS!G$25</f>
        <v/>
      </c>
      <c r="H34" s="18">
        <f>H30*INPUTS!H$25</f>
        <v/>
      </c>
    </row>
    <row r="35">
      <c r="A35" s="3" t="inlineStr">
        <is>
          <t>NWC balance</t>
        </is>
      </c>
      <c r="B35" s="18">
        <f>B30*INPUTS!B$26</f>
        <v/>
      </c>
      <c r="C35" s="18">
        <f>C30*INPUTS!C$26</f>
        <v/>
      </c>
      <c r="D35" s="18">
        <f>D30*INPUTS!D$26</f>
        <v/>
      </c>
      <c r="E35" s="18">
        <f>E30*INPUTS!E$26</f>
        <v/>
      </c>
      <c r="F35" s="18">
        <f>F30*INPUTS!F$26</f>
        <v/>
      </c>
      <c r="G35" s="18">
        <f>G30*INPUTS!G$26</f>
        <v/>
      </c>
      <c r="H35" s="18">
        <f>H30*INPUTS!H$26</f>
        <v/>
      </c>
    </row>
    <row r="36">
      <c r="A36" s="3" t="inlineStr">
        <is>
          <t>Change in NWC</t>
        </is>
      </c>
      <c r="B36" s="18">
        <f>B35-HISTORICALS!$K$9</f>
        <v/>
      </c>
      <c r="C36" s="18">
        <f>C35-B35</f>
        <v/>
      </c>
      <c r="D36" s="18">
        <f>D35-C35</f>
        <v/>
      </c>
      <c r="E36" s="18">
        <f>E35-D35</f>
        <v/>
      </c>
      <c r="F36" s="18">
        <f>F35-E35</f>
        <v/>
      </c>
      <c r="G36" s="18">
        <f>G35-F35</f>
        <v/>
      </c>
      <c r="H36" s="18">
        <f>H35-G35</f>
        <v/>
      </c>
    </row>
    <row r="37">
      <c r="A37" s="3" t="inlineStr">
        <is>
          <t>Unlevered FCF</t>
        </is>
      </c>
      <c r="B37" s="18">
        <f>B32+B33-B34-B36</f>
        <v/>
      </c>
      <c r="C37" s="18">
        <f>C32+C33-C34-C36</f>
        <v/>
      </c>
      <c r="D37" s="18">
        <f>D32+D33-D34-D36</f>
        <v/>
      </c>
      <c r="E37" s="18">
        <f>E32+E33-E34-E36</f>
        <v/>
      </c>
      <c r="F37" s="18">
        <f>F32+F33-F34-F36</f>
        <v/>
      </c>
      <c r="G37" s="18">
        <f>G32+G33-G34-G36</f>
        <v/>
      </c>
      <c r="H37" s="18">
        <f>H32+H33-H34-H36</f>
        <v/>
      </c>
    </row>
    <row r="42">
      <c r="A42" s="2" t="inlineStr">
        <is>
          <t xml:space="preserve">Column 3: Terminal growth rate = </t>
        </is>
      </c>
      <c r="B42" s="44">
        <f>E$4</f>
        <v/>
      </c>
    </row>
    <row r="43">
      <c r="A43" s="3" t="inlineStr">
        <is>
          <t>Revenue</t>
        </is>
      </c>
      <c r="B43" s="18">
        <f>HISTORICALS!$K$4*(1+INPUTS!B$22)</f>
        <v/>
      </c>
      <c r="C43" s="18">
        <f>B43*(1+INPUTS!C$22)</f>
        <v/>
      </c>
      <c r="D43" s="18">
        <f>C43*(1+INPUTS!D$22)</f>
        <v/>
      </c>
      <c r="E43" s="18">
        <f>D43*(1+INPUTS!E$22)</f>
        <v/>
      </c>
      <c r="F43" s="18">
        <f>E43*(1+INPUTS!F$22)</f>
        <v/>
      </c>
      <c r="G43" s="18">
        <f>F43*(1+INPUTS!G$22)</f>
        <v/>
      </c>
      <c r="H43" s="18">
        <f>G43*(1+INPUTS!H$22)</f>
        <v/>
      </c>
    </row>
    <row r="44">
      <c r="A44" s="3" t="inlineStr">
        <is>
          <t>EBIT</t>
        </is>
      </c>
      <c r="B44" s="18">
        <f>B43*(INPUTS!B$23)</f>
        <v/>
      </c>
      <c r="C44" s="18">
        <f>C43*(INPUTS!C$23)</f>
        <v/>
      </c>
      <c r="D44" s="18">
        <f>D43*(INPUTS!D$23)</f>
        <v/>
      </c>
      <c r="E44" s="18">
        <f>E43*(INPUTS!E$23)</f>
        <v/>
      </c>
      <c r="F44" s="18">
        <f>F43*(INPUTS!F$23)</f>
        <v/>
      </c>
      <c r="G44" s="18">
        <f>G43*(INPUTS!G$23)</f>
        <v/>
      </c>
      <c r="H44" s="18">
        <f>H43*(INPUTS!H$23)</f>
        <v/>
      </c>
    </row>
    <row r="45">
      <c r="A45" s="3" t="inlineStr">
        <is>
          <t>NOPAT</t>
        </is>
      </c>
      <c r="B45" s="18">
        <f>B44*(1-INPUTS!$B$4)</f>
        <v/>
      </c>
      <c r="C45" s="18">
        <f>C44*(1-INPUTS!$B$4)</f>
        <v/>
      </c>
      <c r="D45" s="18">
        <f>D44*(1-INPUTS!$B$4)</f>
        <v/>
      </c>
      <c r="E45" s="18">
        <f>E44*(1-INPUTS!$B$4)</f>
        <v/>
      </c>
      <c r="F45" s="18">
        <f>F44*(1-INPUTS!$B$4)</f>
        <v/>
      </c>
      <c r="G45" s="18">
        <f>G44*(1-INPUTS!$B$4)</f>
        <v/>
      </c>
      <c r="H45" s="18">
        <f>H44*(1-INPUTS!$B$4)</f>
        <v/>
      </c>
    </row>
    <row r="46">
      <c r="A46" s="3" t="inlineStr">
        <is>
          <t>D&amp;A</t>
        </is>
      </c>
      <c r="B46" s="18">
        <f>B43*INPUTS!B$24</f>
        <v/>
      </c>
      <c r="C46" s="18">
        <f>C43*INPUTS!C$24</f>
        <v/>
      </c>
      <c r="D46" s="18">
        <f>D43*INPUTS!D$24</f>
        <v/>
      </c>
      <c r="E46" s="18">
        <f>E43*INPUTS!E$24</f>
        <v/>
      </c>
      <c r="F46" s="18">
        <f>F43*INPUTS!F$24</f>
        <v/>
      </c>
      <c r="G46" s="18">
        <f>G43*INPUTS!G$24</f>
        <v/>
      </c>
      <c r="H46" s="18">
        <f>H43*INPUTS!H$24</f>
        <v/>
      </c>
    </row>
    <row r="47">
      <c r="A47" s="3" t="inlineStr">
        <is>
          <t>Capex</t>
        </is>
      </c>
      <c r="B47" s="18">
        <f>B43*INPUTS!B$25</f>
        <v/>
      </c>
      <c r="C47" s="18">
        <f>C43*INPUTS!C$25</f>
        <v/>
      </c>
      <c r="D47" s="18">
        <f>D43*INPUTS!D$25</f>
        <v/>
      </c>
      <c r="E47" s="18">
        <f>E43*INPUTS!E$25</f>
        <v/>
      </c>
      <c r="F47" s="18">
        <f>F43*INPUTS!F$25</f>
        <v/>
      </c>
      <c r="G47" s="18">
        <f>G43*INPUTS!G$25</f>
        <v/>
      </c>
      <c r="H47" s="18">
        <f>H43*INPUTS!H$25</f>
        <v/>
      </c>
    </row>
    <row r="48">
      <c r="A48" s="3" t="inlineStr">
        <is>
          <t>NWC balance</t>
        </is>
      </c>
      <c r="B48" s="18">
        <f>B43*INPUTS!B$26</f>
        <v/>
      </c>
      <c r="C48" s="18">
        <f>C43*INPUTS!C$26</f>
        <v/>
      </c>
      <c r="D48" s="18">
        <f>D43*INPUTS!D$26</f>
        <v/>
      </c>
      <c r="E48" s="18">
        <f>E43*INPUTS!E$26</f>
        <v/>
      </c>
      <c r="F48" s="18">
        <f>F43*INPUTS!F$26</f>
        <v/>
      </c>
      <c r="G48" s="18">
        <f>G43*INPUTS!G$26</f>
        <v/>
      </c>
      <c r="H48" s="18">
        <f>H43*INPUTS!H$26</f>
        <v/>
      </c>
    </row>
    <row r="49">
      <c r="A49" s="3" t="inlineStr">
        <is>
          <t>Change in NWC</t>
        </is>
      </c>
      <c r="B49" s="18">
        <f>B48-HISTORICALS!$K$9</f>
        <v/>
      </c>
      <c r="C49" s="18">
        <f>C48-B48</f>
        <v/>
      </c>
      <c r="D49" s="18">
        <f>D48-C48</f>
        <v/>
      </c>
      <c r="E49" s="18">
        <f>E48-D48</f>
        <v/>
      </c>
      <c r="F49" s="18">
        <f>F48-E48</f>
        <v/>
      </c>
      <c r="G49" s="18">
        <f>G48-F48</f>
        <v/>
      </c>
      <c r="H49" s="18">
        <f>H48-G48</f>
        <v/>
      </c>
    </row>
    <row r="50">
      <c r="A50" s="3" t="inlineStr">
        <is>
          <t>Unlevered FCF</t>
        </is>
      </c>
      <c r="B50" s="18">
        <f>B45+B46-B47-B49</f>
        <v/>
      </c>
      <c r="C50" s="18">
        <f>C45+C46-C47-C49</f>
        <v/>
      </c>
      <c r="D50" s="18">
        <f>D45+D46-D47-D49</f>
        <v/>
      </c>
      <c r="E50" s="18">
        <f>E45+E46-E47-E49</f>
        <v/>
      </c>
      <c r="F50" s="18">
        <f>F45+F46-F47-F49</f>
        <v/>
      </c>
      <c r="G50" s="18">
        <f>G45+G46-G47-G49</f>
        <v/>
      </c>
      <c r="H50" s="18">
        <f>H45+H46-H47-H49</f>
        <v/>
      </c>
    </row>
    <row r="55">
      <c r="A55" s="2" t="inlineStr">
        <is>
          <t xml:space="preserve">Column 4: Terminal growth rate = </t>
        </is>
      </c>
      <c r="B55" s="44">
        <f>F$4</f>
        <v/>
      </c>
    </row>
    <row r="56">
      <c r="A56" s="3" t="inlineStr">
        <is>
          <t>Revenue</t>
        </is>
      </c>
      <c r="B56" s="18">
        <f>HISTORICALS!$K$4*(1+INPUTS!B$22)</f>
        <v/>
      </c>
      <c r="C56" s="18">
        <f>B56*(1+INPUTS!C$22)</f>
        <v/>
      </c>
      <c r="D56" s="18">
        <f>C56*(1+INPUTS!D$22)</f>
        <v/>
      </c>
      <c r="E56" s="18">
        <f>D56*(1+INPUTS!E$22)</f>
        <v/>
      </c>
      <c r="F56" s="18">
        <f>E56*(1+INPUTS!F$22)</f>
        <v/>
      </c>
      <c r="G56" s="18">
        <f>F56*(1+INPUTS!G$22)</f>
        <v/>
      </c>
      <c r="H56" s="18">
        <f>G56*(1+INPUTS!H$22)</f>
        <v/>
      </c>
    </row>
    <row r="57">
      <c r="A57" s="3" t="inlineStr">
        <is>
          <t>EBIT</t>
        </is>
      </c>
      <c r="B57" s="18">
        <f>B56*(INPUTS!B$23)</f>
        <v/>
      </c>
      <c r="C57" s="18">
        <f>C56*(INPUTS!C$23)</f>
        <v/>
      </c>
      <c r="D57" s="18">
        <f>D56*(INPUTS!D$23)</f>
        <v/>
      </c>
      <c r="E57" s="18">
        <f>E56*(INPUTS!E$23)</f>
        <v/>
      </c>
      <c r="F57" s="18">
        <f>F56*(INPUTS!F$23)</f>
        <v/>
      </c>
      <c r="G57" s="18">
        <f>G56*(INPUTS!G$23)</f>
        <v/>
      </c>
      <c r="H57" s="18">
        <f>H56*(INPUTS!H$23)</f>
        <v/>
      </c>
    </row>
    <row r="58">
      <c r="A58" s="3" t="inlineStr">
        <is>
          <t>NOPAT</t>
        </is>
      </c>
      <c r="B58" s="18">
        <f>B57*(1-INPUTS!$B$4)</f>
        <v/>
      </c>
      <c r="C58" s="18">
        <f>C57*(1-INPUTS!$B$4)</f>
        <v/>
      </c>
      <c r="D58" s="18">
        <f>D57*(1-INPUTS!$B$4)</f>
        <v/>
      </c>
      <c r="E58" s="18">
        <f>E57*(1-INPUTS!$B$4)</f>
        <v/>
      </c>
      <c r="F58" s="18">
        <f>F57*(1-INPUTS!$B$4)</f>
        <v/>
      </c>
      <c r="G58" s="18">
        <f>G57*(1-INPUTS!$B$4)</f>
        <v/>
      </c>
      <c r="H58" s="18">
        <f>H57*(1-INPUTS!$B$4)</f>
        <v/>
      </c>
    </row>
    <row r="59">
      <c r="A59" s="3" t="inlineStr">
        <is>
          <t>D&amp;A</t>
        </is>
      </c>
      <c r="B59" s="18">
        <f>B56*INPUTS!B$24</f>
        <v/>
      </c>
      <c r="C59" s="18">
        <f>C56*INPUTS!C$24</f>
        <v/>
      </c>
      <c r="D59" s="18">
        <f>D56*INPUTS!D$24</f>
        <v/>
      </c>
      <c r="E59" s="18">
        <f>E56*INPUTS!E$24</f>
        <v/>
      </c>
      <c r="F59" s="18">
        <f>F56*INPUTS!F$24</f>
        <v/>
      </c>
      <c r="G59" s="18">
        <f>G56*INPUTS!G$24</f>
        <v/>
      </c>
      <c r="H59" s="18">
        <f>H56*INPUTS!H$24</f>
        <v/>
      </c>
    </row>
    <row r="60">
      <c r="A60" s="3" t="inlineStr">
        <is>
          <t>Capex</t>
        </is>
      </c>
      <c r="B60" s="18">
        <f>B56*INPUTS!B$25</f>
        <v/>
      </c>
      <c r="C60" s="18">
        <f>C56*INPUTS!C$25</f>
        <v/>
      </c>
      <c r="D60" s="18">
        <f>D56*INPUTS!D$25</f>
        <v/>
      </c>
      <c r="E60" s="18">
        <f>E56*INPUTS!E$25</f>
        <v/>
      </c>
      <c r="F60" s="18">
        <f>F56*INPUTS!F$25</f>
        <v/>
      </c>
      <c r="G60" s="18">
        <f>G56*INPUTS!G$25</f>
        <v/>
      </c>
      <c r="H60" s="18">
        <f>H56*INPUTS!H$25</f>
        <v/>
      </c>
    </row>
    <row r="61">
      <c r="A61" s="3" t="inlineStr">
        <is>
          <t>NWC balance</t>
        </is>
      </c>
      <c r="B61" s="18">
        <f>B56*INPUTS!B$26</f>
        <v/>
      </c>
      <c r="C61" s="18">
        <f>C56*INPUTS!C$26</f>
        <v/>
      </c>
      <c r="D61" s="18">
        <f>D56*INPUTS!D$26</f>
        <v/>
      </c>
      <c r="E61" s="18">
        <f>E56*INPUTS!E$26</f>
        <v/>
      </c>
      <c r="F61" s="18">
        <f>F56*INPUTS!F$26</f>
        <v/>
      </c>
      <c r="G61" s="18">
        <f>G56*INPUTS!G$26</f>
        <v/>
      </c>
      <c r="H61" s="18">
        <f>H56*INPUTS!H$26</f>
        <v/>
      </c>
    </row>
    <row r="62">
      <c r="A62" s="3" t="inlineStr">
        <is>
          <t>Change in NWC</t>
        </is>
      </c>
      <c r="B62" s="18">
        <f>B61-HISTORICALS!$K$9</f>
        <v/>
      </c>
      <c r="C62" s="18">
        <f>C61-B61</f>
        <v/>
      </c>
      <c r="D62" s="18">
        <f>D61-C61</f>
        <v/>
      </c>
      <c r="E62" s="18">
        <f>E61-D61</f>
        <v/>
      </c>
      <c r="F62" s="18">
        <f>F61-E61</f>
        <v/>
      </c>
      <c r="G62" s="18">
        <f>G61-F61</f>
        <v/>
      </c>
      <c r="H62" s="18">
        <f>H61-G61</f>
        <v/>
      </c>
    </row>
    <row r="63">
      <c r="A63" s="3" t="inlineStr">
        <is>
          <t>Unlevered FCF</t>
        </is>
      </c>
      <c r="B63" s="18">
        <f>B58+B59-B60-B62</f>
        <v/>
      </c>
      <c r="C63" s="18">
        <f>C58+C59-C60-C62</f>
        <v/>
      </c>
      <c r="D63" s="18">
        <f>D58+D59-D60-D62</f>
        <v/>
      </c>
      <c r="E63" s="18">
        <f>E58+E59-E60-E62</f>
        <v/>
      </c>
      <c r="F63" s="18">
        <f>F58+F59-F60-F62</f>
        <v/>
      </c>
      <c r="G63" s="18">
        <f>G58+G59-G60-G62</f>
        <v/>
      </c>
      <c r="H63" s="18">
        <f>H58+H59-H60-H62</f>
        <v/>
      </c>
    </row>
    <row r="68">
      <c r="A68" s="2" t="inlineStr">
        <is>
          <t xml:space="preserve">Column 5: Terminal growth rate = </t>
        </is>
      </c>
      <c r="B68" s="44">
        <f>G$4</f>
        <v/>
      </c>
    </row>
    <row r="69">
      <c r="A69" s="3" t="inlineStr">
        <is>
          <t>Revenue</t>
        </is>
      </c>
      <c r="B69" s="18">
        <f>HISTORICALS!$K$4*(1+INPUTS!B$22)</f>
        <v/>
      </c>
      <c r="C69" s="18">
        <f>B69*(1+INPUTS!C$22)</f>
        <v/>
      </c>
      <c r="D69" s="18">
        <f>C69*(1+INPUTS!D$22)</f>
        <v/>
      </c>
      <c r="E69" s="18">
        <f>D69*(1+INPUTS!E$22)</f>
        <v/>
      </c>
      <c r="F69" s="18">
        <f>E69*(1+INPUTS!F$22)</f>
        <v/>
      </c>
      <c r="G69" s="18">
        <f>F69*(1+INPUTS!G$22)</f>
        <v/>
      </c>
      <c r="H69" s="18">
        <f>G69*(1+INPUTS!H$22)</f>
        <v/>
      </c>
    </row>
    <row r="70">
      <c r="A70" s="3" t="inlineStr">
        <is>
          <t>EBIT</t>
        </is>
      </c>
      <c r="B70" s="18">
        <f>B69*(INPUTS!B$23)</f>
        <v/>
      </c>
      <c r="C70" s="18">
        <f>C69*(INPUTS!C$23)</f>
        <v/>
      </c>
      <c r="D70" s="18">
        <f>D69*(INPUTS!D$23)</f>
        <v/>
      </c>
      <c r="E70" s="18">
        <f>E69*(INPUTS!E$23)</f>
        <v/>
      </c>
      <c r="F70" s="18">
        <f>F69*(INPUTS!F$23)</f>
        <v/>
      </c>
      <c r="G70" s="18">
        <f>G69*(INPUTS!G$23)</f>
        <v/>
      </c>
      <c r="H70" s="18">
        <f>H69*(INPUTS!H$23)</f>
        <v/>
      </c>
    </row>
    <row r="71">
      <c r="A71" s="3" t="inlineStr">
        <is>
          <t>NOPAT</t>
        </is>
      </c>
      <c r="B71" s="18">
        <f>B70*(1-INPUTS!$B$4)</f>
        <v/>
      </c>
      <c r="C71" s="18">
        <f>C70*(1-INPUTS!$B$4)</f>
        <v/>
      </c>
      <c r="D71" s="18">
        <f>D70*(1-INPUTS!$B$4)</f>
        <v/>
      </c>
      <c r="E71" s="18">
        <f>E70*(1-INPUTS!$B$4)</f>
        <v/>
      </c>
      <c r="F71" s="18">
        <f>F70*(1-INPUTS!$B$4)</f>
        <v/>
      </c>
      <c r="G71" s="18">
        <f>G70*(1-INPUTS!$B$4)</f>
        <v/>
      </c>
      <c r="H71" s="18">
        <f>H70*(1-INPUTS!$B$4)</f>
        <v/>
      </c>
    </row>
    <row r="72">
      <c r="A72" s="3" t="inlineStr">
        <is>
          <t>D&amp;A</t>
        </is>
      </c>
      <c r="B72" s="18">
        <f>B69*INPUTS!B$24</f>
        <v/>
      </c>
      <c r="C72" s="18">
        <f>C69*INPUTS!C$24</f>
        <v/>
      </c>
      <c r="D72" s="18">
        <f>D69*INPUTS!D$24</f>
        <v/>
      </c>
      <c r="E72" s="18">
        <f>E69*INPUTS!E$24</f>
        <v/>
      </c>
      <c r="F72" s="18">
        <f>F69*INPUTS!F$24</f>
        <v/>
      </c>
      <c r="G72" s="18">
        <f>G69*INPUTS!G$24</f>
        <v/>
      </c>
      <c r="H72" s="18">
        <f>H69*INPUTS!H$24</f>
        <v/>
      </c>
    </row>
    <row r="73">
      <c r="A73" s="3" t="inlineStr">
        <is>
          <t>Capex</t>
        </is>
      </c>
      <c r="B73" s="18">
        <f>B69*INPUTS!B$25</f>
        <v/>
      </c>
      <c r="C73" s="18">
        <f>C69*INPUTS!C$25</f>
        <v/>
      </c>
      <c r="D73" s="18">
        <f>D69*INPUTS!D$25</f>
        <v/>
      </c>
      <c r="E73" s="18">
        <f>E69*INPUTS!E$25</f>
        <v/>
      </c>
      <c r="F73" s="18">
        <f>F69*INPUTS!F$25</f>
        <v/>
      </c>
      <c r="G73" s="18">
        <f>G69*INPUTS!G$25</f>
        <v/>
      </c>
      <c r="H73" s="18">
        <f>H69*INPUTS!H$25</f>
        <v/>
      </c>
    </row>
    <row r="74">
      <c r="A74" s="3" t="inlineStr">
        <is>
          <t>NWC balance</t>
        </is>
      </c>
      <c r="B74" s="18">
        <f>B69*INPUTS!B$26</f>
        <v/>
      </c>
      <c r="C74" s="18">
        <f>C69*INPUTS!C$26</f>
        <v/>
      </c>
      <c r="D74" s="18">
        <f>D69*INPUTS!D$26</f>
        <v/>
      </c>
      <c r="E74" s="18">
        <f>E69*INPUTS!E$26</f>
        <v/>
      </c>
      <c r="F74" s="18">
        <f>F69*INPUTS!F$26</f>
        <v/>
      </c>
      <c r="G74" s="18">
        <f>G69*INPUTS!G$26</f>
        <v/>
      </c>
      <c r="H74" s="18">
        <f>H69*INPUTS!H$26</f>
        <v/>
      </c>
    </row>
    <row r="75">
      <c r="A75" s="3" t="inlineStr">
        <is>
          <t>Change in NWC</t>
        </is>
      </c>
      <c r="B75" s="18">
        <f>B74-HISTORICALS!$K$9</f>
        <v/>
      </c>
      <c r="C75" s="18">
        <f>C74-B74</f>
        <v/>
      </c>
      <c r="D75" s="18">
        <f>D74-C74</f>
        <v/>
      </c>
      <c r="E75" s="18">
        <f>E74-D74</f>
        <v/>
      </c>
      <c r="F75" s="18">
        <f>F74-E74</f>
        <v/>
      </c>
      <c r="G75" s="18">
        <f>G74-F74</f>
        <v/>
      </c>
      <c r="H75" s="18">
        <f>H74-G74</f>
        <v/>
      </c>
    </row>
    <row r="76">
      <c r="A76" s="3" t="inlineStr">
        <is>
          <t>Unlevered FCF</t>
        </is>
      </c>
      <c r="B76" s="18">
        <f>B71+B72-B73-B75</f>
        <v/>
      </c>
      <c r="C76" s="18">
        <f>C71+C72-C73-C75</f>
        <v/>
      </c>
      <c r="D76" s="18">
        <f>D71+D72-D73-D75</f>
        <v/>
      </c>
      <c r="E76" s="18">
        <f>E71+E72-E73-E75</f>
        <v/>
      </c>
      <c r="F76" s="18">
        <f>F71+F72-F73-F75</f>
        <v/>
      </c>
      <c r="G76" s="18">
        <f>G71+G72-G73-G75</f>
        <v/>
      </c>
      <c r="H76" s="18">
        <f>H71+H72-H73-H75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SCENARIOS — bear, base and bull</t>
        </is>
      </c>
    </row>
    <row r="2">
      <c r="A2" s="3" t="inlineStr">
        <is>
          <t>A parallel shift to the growth path, set by the scenario delta on INPUTS. Each case is a full projection, not a haircut to the answer.</t>
        </is>
      </c>
    </row>
    <row r="4">
      <c r="A4" s="4" t="inlineStr">
        <is>
          <t>Case</t>
        </is>
      </c>
      <c r="B4" s="4" t="inlineStr">
        <is>
          <t>Growth shift</t>
        </is>
      </c>
      <c r="C4" s="4" t="inlineStr">
        <is>
          <t>Value per share</t>
        </is>
      </c>
    </row>
    <row r="5">
      <c r="A5" s="5" t="inlineStr">
        <is>
          <t>Bear</t>
        </is>
      </c>
      <c r="B5" s="8">
        <f>-1*INPUTS!$B$19</f>
        <v/>
      </c>
      <c r="C5" s="38">
        <f>B23</f>
        <v/>
      </c>
    </row>
    <row r="6">
      <c r="A6" s="5" t="inlineStr">
        <is>
          <t>Base</t>
        </is>
      </c>
      <c r="B6" s="8">
        <f>0*INPUTS!$B$19</f>
        <v/>
      </c>
      <c r="C6" s="37">
        <f>B35</f>
        <v/>
      </c>
    </row>
    <row r="7">
      <c r="A7" s="5" t="inlineStr">
        <is>
          <t>Bull</t>
        </is>
      </c>
      <c r="B7" s="8">
        <f>1*INPUTS!$B$19</f>
        <v/>
      </c>
      <c r="C7" s="38">
        <f>B47</f>
        <v/>
      </c>
    </row>
    <row r="10">
      <c r="A10" s="3" t="inlineStr">
        <is>
          <t>Helper projections — one per case, driven off INPUTS with that case's shift applied</t>
        </is>
      </c>
    </row>
    <row r="12">
      <c r="A12" s="2" t="inlineStr">
        <is>
          <t>Bear case</t>
        </is>
      </c>
    </row>
    <row r="13">
      <c r="A13" s="3" t="inlineStr">
        <is>
          <t xml:space="preserve">    Revenue</t>
        </is>
      </c>
      <c r="B13" s="18">
        <f>HISTORICALS!$K$4*(1+INPUTS!B$22+(-1*INPUTS!$B$19))</f>
        <v/>
      </c>
      <c r="C13" s="18">
        <f>B13*(1+INPUTS!C$22+(-1*INPUTS!$B$19))</f>
        <v/>
      </c>
      <c r="D13" s="18">
        <f>C13*(1+INPUTS!D$22+(-1*INPUTS!$B$19))</f>
        <v/>
      </c>
      <c r="E13" s="18">
        <f>D13*(1+INPUTS!E$22+(-1*INPUTS!$B$19))</f>
        <v/>
      </c>
      <c r="F13" s="18">
        <f>E13*(1+INPUTS!F$22+(-1*INPUTS!$B$19))</f>
        <v/>
      </c>
      <c r="G13" s="18">
        <f>F13*(1+INPUTS!G$22+(-1*INPUTS!$B$19))</f>
        <v/>
      </c>
      <c r="H13" s="18">
        <f>G13*(1+INPUTS!H$22+(-1*INPUTS!$B$19))</f>
        <v/>
      </c>
    </row>
    <row r="14">
      <c r="A14" s="3" t="inlineStr">
        <is>
          <t xml:space="preserve">    EBIT</t>
        </is>
      </c>
      <c r="B14" s="18">
        <f>B13*INPUTS!B$23</f>
        <v/>
      </c>
      <c r="C14" s="18">
        <f>C13*INPUTS!C$23</f>
        <v/>
      </c>
      <c r="D14" s="18">
        <f>D13*INPUTS!D$23</f>
        <v/>
      </c>
      <c r="E14" s="18">
        <f>E13*INPUTS!E$23</f>
        <v/>
      </c>
      <c r="F14" s="18">
        <f>F13*INPUTS!F$23</f>
        <v/>
      </c>
      <c r="G14" s="18">
        <f>G13*INPUTS!G$23</f>
        <v/>
      </c>
      <c r="H14" s="18">
        <f>H13*INPUTS!H$23</f>
        <v/>
      </c>
    </row>
    <row r="15">
      <c r="A15" s="3" t="inlineStr">
        <is>
          <t xml:space="preserve">    NOPAT</t>
        </is>
      </c>
      <c r="B15" s="18">
        <f>B14*(1-INPUTS!$B$4)</f>
        <v/>
      </c>
      <c r="C15" s="18">
        <f>C14*(1-INPUTS!$B$4)</f>
        <v/>
      </c>
      <c r="D15" s="18">
        <f>D14*(1-INPUTS!$B$4)</f>
        <v/>
      </c>
      <c r="E15" s="18">
        <f>E14*(1-INPUTS!$B$4)</f>
        <v/>
      </c>
      <c r="F15" s="18">
        <f>F14*(1-INPUTS!$B$4)</f>
        <v/>
      </c>
      <c r="G15" s="18">
        <f>G14*(1-INPUTS!$B$4)</f>
        <v/>
      </c>
      <c r="H15" s="18">
        <f>H14*(1-INPUTS!$B$4)</f>
        <v/>
      </c>
    </row>
    <row r="16">
      <c r="A16" s="3" t="inlineStr">
        <is>
          <t xml:space="preserve">    D&amp;A</t>
        </is>
      </c>
      <c r="B16" s="18">
        <f>B13*INPUTS!B$24</f>
        <v/>
      </c>
      <c r="C16" s="18">
        <f>C13*INPUTS!C$24</f>
        <v/>
      </c>
      <c r="D16" s="18">
        <f>D13*INPUTS!D$24</f>
        <v/>
      </c>
      <c r="E16" s="18">
        <f>E13*INPUTS!E$24</f>
        <v/>
      </c>
      <c r="F16" s="18">
        <f>F13*INPUTS!F$24</f>
        <v/>
      </c>
      <c r="G16" s="18">
        <f>G13*INPUTS!G$24</f>
        <v/>
      </c>
      <c r="H16" s="18">
        <f>H13*INPUTS!H$24</f>
        <v/>
      </c>
    </row>
    <row r="17">
      <c r="A17" s="3" t="inlineStr">
        <is>
          <t xml:space="preserve">    Capex</t>
        </is>
      </c>
      <c r="B17" s="18">
        <f>B13*INPUTS!B$25</f>
        <v/>
      </c>
      <c r="C17" s="18">
        <f>C13*INPUTS!C$25</f>
        <v/>
      </c>
      <c r="D17" s="18">
        <f>D13*INPUTS!D$25</f>
        <v/>
      </c>
      <c r="E17" s="18">
        <f>E13*INPUTS!E$25</f>
        <v/>
      </c>
      <c r="F17" s="18">
        <f>F13*INPUTS!F$25</f>
        <v/>
      </c>
      <c r="G17" s="18">
        <f>G13*INPUTS!G$25</f>
        <v/>
      </c>
      <c r="H17" s="18">
        <f>H13*INPUTS!H$25</f>
        <v/>
      </c>
    </row>
    <row r="18">
      <c r="A18" s="3" t="inlineStr">
        <is>
          <t xml:space="preserve">    NWC</t>
        </is>
      </c>
      <c r="B18" s="18">
        <f>B13*INPUTS!B$26</f>
        <v/>
      </c>
      <c r="C18" s="18">
        <f>C13*INPUTS!C$26</f>
        <v/>
      </c>
      <c r="D18" s="18">
        <f>D13*INPUTS!D$26</f>
        <v/>
      </c>
      <c r="E18" s="18">
        <f>E13*INPUTS!E$26</f>
        <v/>
      </c>
      <c r="F18" s="18">
        <f>F13*INPUTS!F$26</f>
        <v/>
      </c>
      <c r="G18" s="18">
        <f>G13*INPUTS!G$26</f>
        <v/>
      </c>
      <c r="H18" s="18">
        <f>H13*INPUTS!H$26</f>
        <v/>
      </c>
    </row>
    <row r="19">
      <c r="A19" s="3" t="inlineStr">
        <is>
          <t xml:space="preserve">    Change in NWC</t>
        </is>
      </c>
      <c r="B19" s="18">
        <f>B18-HISTORICALS!$K$9</f>
        <v/>
      </c>
      <c r="C19" s="18">
        <f>C18-B18</f>
        <v/>
      </c>
      <c r="D19" s="18">
        <f>D18-C18</f>
        <v/>
      </c>
      <c r="E19" s="18">
        <f>E18-D18</f>
        <v/>
      </c>
      <c r="F19" s="18">
        <f>F18-E18</f>
        <v/>
      </c>
      <c r="G19" s="18">
        <f>G18-F18</f>
        <v/>
      </c>
      <c r="H19" s="18">
        <f>H18-G18</f>
        <v/>
      </c>
    </row>
    <row r="20">
      <c r="A20" s="3" t="inlineStr">
        <is>
          <t xml:space="preserve">    Unlevered FCF</t>
        </is>
      </c>
      <c r="B20" s="18">
        <f>B15+B16-B17-B19</f>
        <v/>
      </c>
      <c r="C20" s="18">
        <f>C15+C16-C17-C19</f>
        <v/>
      </c>
      <c r="D20" s="18">
        <f>D15+D16-D17-D19</f>
        <v/>
      </c>
      <c r="E20" s="18">
        <f>E15+E16-E17-E19</f>
        <v/>
      </c>
      <c r="F20" s="18">
        <f>F15+F16-F17-F19</f>
        <v/>
      </c>
      <c r="G20" s="18">
        <f>G15+G16-G17-G19</f>
        <v/>
      </c>
      <c r="H20" s="18">
        <f>H15+H16-H17-H19</f>
        <v/>
      </c>
    </row>
    <row r="21">
      <c r="A21" s="3" t="inlineStr">
        <is>
          <t xml:space="preserve">    PV of FCF</t>
        </is>
      </c>
      <c r="B21" s="18">
        <f>B20*VALUATION!B$6</f>
        <v/>
      </c>
      <c r="C21" s="18">
        <f>C20*VALUATION!C$6</f>
        <v/>
      </c>
      <c r="D21" s="18">
        <f>D20*VALUATION!D$6</f>
        <v/>
      </c>
      <c r="E21" s="18">
        <f>E20*VALUATION!E$6</f>
        <v/>
      </c>
      <c r="F21" s="18">
        <f>F20*VALUATION!F$6</f>
        <v/>
      </c>
      <c r="G21" s="18">
        <f>G20*VALUATION!G$6</f>
        <v/>
      </c>
      <c r="H21" s="18">
        <f>H20*VALUATION!H$6</f>
        <v/>
      </c>
    </row>
    <row r="22">
      <c r="A22" s="3" t="inlineStr">
        <is>
          <t xml:space="preserve">    Enterprise value</t>
        </is>
      </c>
      <c r="B22" s="18">
        <f>SUM(B21:H21)+H20*(1+INPUTS!$B$11)/(INPUTS!$B$10-INPUTS!$B$11)*VALUATION!$H$6</f>
        <v/>
      </c>
    </row>
    <row r="23">
      <c r="A23" s="3" t="inlineStr">
        <is>
          <t xml:space="preserve">    Value per share</t>
        </is>
      </c>
      <c r="B23" s="38">
        <f>(B22-INPUTS!$B$13)/INPUTS!$B$14</f>
        <v/>
      </c>
    </row>
    <row r="24">
      <c r="A24" s="2" t="inlineStr">
        <is>
          <t>Base case</t>
        </is>
      </c>
    </row>
    <row r="25">
      <c r="A25" s="3" t="inlineStr">
        <is>
          <t xml:space="preserve">    Revenue</t>
        </is>
      </c>
      <c r="B25" s="18">
        <f>HISTORICALS!$K$4*(1+INPUTS!B$22)</f>
        <v/>
      </c>
      <c r="C25" s="18">
        <f>B25*(1+INPUTS!C$22)</f>
        <v/>
      </c>
      <c r="D25" s="18">
        <f>C25*(1+INPUTS!D$22)</f>
        <v/>
      </c>
      <c r="E25" s="18">
        <f>D25*(1+INPUTS!E$22)</f>
        <v/>
      </c>
      <c r="F25" s="18">
        <f>E25*(1+INPUTS!F$22)</f>
        <v/>
      </c>
      <c r="G25" s="18">
        <f>F25*(1+INPUTS!G$22)</f>
        <v/>
      </c>
      <c r="H25" s="18">
        <f>G25*(1+INPUTS!H$22)</f>
        <v/>
      </c>
    </row>
    <row r="26">
      <c r="A26" s="3" t="inlineStr">
        <is>
          <t xml:space="preserve">    EBIT</t>
        </is>
      </c>
      <c r="B26" s="18">
        <f>B25*INPUTS!B$23</f>
        <v/>
      </c>
      <c r="C26" s="18">
        <f>C25*INPUTS!C$23</f>
        <v/>
      </c>
      <c r="D26" s="18">
        <f>D25*INPUTS!D$23</f>
        <v/>
      </c>
      <c r="E26" s="18">
        <f>E25*INPUTS!E$23</f>
        <v/>
      </c>
      <c r="F26" s="18">
        <f>F25*INPUTS!F$23</f>
        <v/>
      </c>
      <c r="G26" s="18">
        <f>G25*INPUTS!G$23</f>
        <v/>
      </c>
      <c r="H26" s="18">
        <f>H25*INPUTS!H$23</f>
        <v/>
      </c>
    </row>
    <row r="27">
      <c r="A27" s="3" t="inlineStr">
        <is>
          <t xml:space="preserve">    NOPAT</t>
        </is>
      </c>
      <c r="B27" s="18">
        <f>B26*(1-INPUTS!$B$4)</f>
        <v/>
      </c>
      <c r="C27" s="18">
        <f>C26*(1-INPUTS!$B$4)</f>
        <v/>
      </c>
      <c r="D27" s="18">
        <f>D26*(1-INPUTS!$B$4)</f>
        <v/>
      </c>
      <c r="E27" s="18">
        <f>E26*(1-INPUTS!$B$4)</f>
        <v/>
      </c>
      <c r="F27" s="18">
        <f>F26*(1-INPUTS!$B$4)</f>
        <v/>
      </c>
      <c r="G27" s="18">
        <f>G26*(1-INPUTS!$B$4)</f>
        <v/>
      </c>
      <c r="H27" s="18">
        <f>H26*(1-INPUTS!$B$4)</f>
        <v/>
      </c>
    </row>
    <row r="28">
      <c r="A28" s="3" t="inlineStr">
        <is>
          <t xml:space="preserve">    D&amp;A</t>
        </is>
      </c>
      <c r="B28" s="18">
        <f>B25*INPUTS!B$24</f>
        <v/>
      </c>
      <c r="C28" s="18">
        <f>C25*INPUTS!C$24</f>
        <v/>
      </c>
      <c r="D28" s="18">
        <f>D25*INPUTS!D$24</f>
        <v/>
      </c>
      <c r="E28" s="18">
        <f>E25*INPUTS!E$24</f>
        <v/>
      </c>
      <c r="F28" s="18">
        <f>F25*INPUTS!F$24</f>
        <v/>
      </c>
      <c r="G28" s="18">
        <f>G25*INPUTS!G$24</f>
        <v/>
      </c>
      <c r="H28" s="18">
        <f>H25*INPUTS!H$24</f>
        <v/>
      </c>
    </row>
    <row r="29">
      <c r="A29" s="3" t="inlineStr">
        <is>
          <t xml:space="preserve">    Capex</t>
        </is>
      </c>
      <c r="B29" s="18">
        <f>B25*INPUTS!B$25</f>
        <v/>
      </c>
      <c r="C29" s="18">
        <f>C25*INPUTS!C$25</f>
        <v/>
      </c>
      <c r="D29" s="18">
        <f>D25*INPUTS!D$25</f>
        <v/>
      </c>
      <c r="E29" s="18">
        <f>E25*INPUTS!E$25</f>
        <v/>
      </c>
      <c r="F29" s="18">
        <f>F25*INPUTS!F$25</f>
        <v/>
      </c>
      <c r="G29" s="18">
        <f>G25*INPUTS!G$25</f>
        <v/>
      </c>
      <c r="H29" s="18">
        <f>H25*INPUTS!H$25</f>
        <v/>
      </c>
    </row>
    <row r="30">
      <c r="A30" s="3" t="inlineStr">
        <is>
          <t xml:space="preserve">    NWC</t>
        </is>
      </c>
      <c r="B30" s="18">
        <f>B25*INPUTS!B$26</f>
        <v/>
      </c>
      <c r="C30" s="18">
        <f>C25*INPUTS!C$26</f>
        <v/>
      </c>
      <c r="D30" s="18">
        <f>D25*INPUTS!D$26</f>
        <v/>
      </c>
      <c r="E30" s="18">
        <f>E25*INPUTS!E$26</f>
        <v/>
      </c>
      <c r="F30" s="18">
        <f>F25*INPUTS!F$26</f>
        <v/>
      </c>
      <c r="G30" s="18">
        <f>G25*INPUTS!G$26</f>
        <v/>
      </c>
      <c r="H30" s="18">
        <f>H25*INPUTS!H$26</f>
        <v/>
      </c>
    </row>
    <row r="31">
      <c r="A31" s="3" t="inlineStr">
        <is>
          <t xml:space="preserve">    Change in NWC</t>
        </is>
      </c>
      <c r="B31" s="18">
        <f>B30-HISTORICALS!$K$9</f>
        <v/>
      </c>
      <c r="C31" s="18">
        <f>C30-B30</f>
        <v/>
      </c>
      <c r="D31" s="18">
        <f>D30-C30</f>
        <v/>
      </c>
      <c r="E31" s="18">
        <f>E30-D30</f>
        <v/>
      </c>
      <c r="F31" s="18">
        <f>F30-E30</f>
        <v/>
      </c>
      <c r="G31" s="18">
        <f>G30-F30</f>
        <v/>
      </c>
      <c r="H31" s="18">
        <f>H30-G30</f>
        <v/>
      </c>
    </row>
    <row r="32">
      <c r="A32" s="3" t="inlineStr">
        <is>
          <t xml:space="preserve">    Unlevered FCF</t>
        </is>
      </c>
      <c r="B32" s="18">
        <f>B27+B28-B29-B31</f>
        <v/>
      </c>
      <c r="C32" s="18">
        <f>C27+C28-C29-C31</f>
        <v/>
      </c>
      <c r="D32" s="18">
        <f>D27+D28-D29-D31</f>
        <v/>
      </c>
      <c r="E32" s="18">
        <f>E27+E28-E29-E31</f>
        <v/>
      </c>
      <c r="F32" s="18">
        <f>F27+F28-F29-F31</f>
        <v/>
      </c>
      <c r="G32" s="18">
        <f>G27+G28-G29-G31</f>
        <v/>
      </c>
      <c r="H32" s="18">
        <f>H27+H28-H29-H31</f>
        <v/>
      </c>
    </row>
    <row r="33">
      <c r="A33" s="3" t="inlineStr">
        <is>
          <t xml:space="preserve">    PV of FCF</t>
        </is>
      </c>
      <c r="B33" s="18">
        <f>B32*VALUATION!B$6</f>
        <v/>
      </c>
      <c r="C33" s="18">
        <f>C32*VALUATION!C$6</f>
        <v/>
      </c>
      <c r="D33" s="18">
        <f>D32*VALUATION!D$6</f>
        <v/>
      </c>
      <c r="E33" s="18">
        <f>E32*VALUATION!E$6</f>
        <v/>
      </c>
      <c r="F33" s="18">
        <f>F32*VALUATION!F$6</f>
        <v/>
      </c>
      <c r="G33" s="18">
        <f>G32*VALUATION!G$6</f>
        <v/>
      </c>
      <c r="H33" s="18">
        <f>H32*VALUATION!H$6</f>
        <v/>
      </c>
    </row>
    <row r="34">
      <c r="A34" s="3" t="inlineStr">
        <is>
          <t xml:space="preserve">    Enterprise value</t>
        </is>
      </c>
      <c r="B34" s="18">
        <f>SUM(B33:H33)+H32*(1+INPUTS!$B$11)/(INPUTS!$B$10-INPUTS!$B$11)*VALUATION!$H$6</f>
        <v/>
      </c>
    </row>
    <row r="35">
      <c r="A35" s="3" t="inlineStr">
        <is>
          <t xml:space="preserve">    Value per share</t>
        </is>
      </c>
      <c r="B35" s="38">
        <f>(B34-INPUTS!$B$13)/INPUTS!$B$14</f>
        <v/>
      </c>
    </row>
    <row r="36">
      <c r="A36" s="2" t="inlineStr">
        <is>
          <t>Bull case</t>
        </is>
      </c>
    </row>
    <row r="37">
      <c r="A37" s="3" t="inlineStr">
        <is>
          <t xml:space="preserve">    Revenue</t>
        </is>
      </c>
      <c r="B37" s="18">
        <f>HISTORICALS!$K$4*(1+INPUTS!B$22+(1*INPUTS!$B$19))</f>
        <v/>
      </c>
      <c r="C37" s="18">
        <f>B37*(1+INPUTS!C$22+(1*INPUTS!$B$19))</f>
        <v/>
      </c>
      <c r="D37" s="18">
        <f>C37*(1+INPUTS!D$22+(1*INPUTS!$B$19))</f>
        <v/>
      </c>
      <c r="E37" s="18">
        <f>D37*(1+INPUTS!E$22+(1*INPUTS!$B$19))</f>
        <v/>
      </c>
      <c r="F37" s="18">
        <f>E37*(1+INPUTS!F$22+(1*INPUTS!$B$19))</f>
        <v/>
      </c>
      <c r="G37" s="18">
        <f>F37*(1+INPUTS!G$22+(1*INPUTS!$B$19))</f>
        <v/>
      </c>
      <c r="H37" s="18">
        <f>G37*(1+INPUTS!H$22+(1*INPUTS!$B$19))</f>
        <v/>
      </c>
    </row>
    <row r="38">
      <c r="A38" s="3" t="inlineStr">
        <is>
          <t xml:space="preserve">    EBIT</t>
        </is>
      </c>
      <c r="B38" s="18">
        <f>B37*INPUTS!B$23</f>
        <v/>
      </c>
      <c r="C38" s="18">
        <f>C37*INPUTS!C$23</f>
        <v/>
      </c>
      <c r="D38" s="18">
        <f>D37*INPUTS!D$23</f>
        <v/>
      </c>
      <c r="E38" s="18">
        <f>E37*INPUTS!E$23</f>
        <v/>
      </c>
      <c r="F38" s="18">
        <f>F37*INPUTS!F$23</f>
        <v/>
      </c>
      <c r="G38" s="18">
        <f>G37*INPUTS!G$23</f>
        <v/>
      </c>
      <c r="H38" s="18">
        <f>H37*INPUTS!H$23</f>
        <v/>
      </c>
    </row>
    <row r="39">
      <c r="A39" s="3" t="inlineStr">
        <is>
          <t xml:space="preserve">    NOPAT</t>
        </is>
      </c>
      <c r="B39" s="18">
        <f>B38*(1-INPUTS!$B$4)</f>
        <v/>
      </c>
      <c r="C39" s="18">
        <f>C38*(1-INPUTS!$B$4)</f>
        <v/>
      </c>
      <c r="D39" s="18">
        <f>D38*(1-INPUTS!$B$4)</f>
        <v/>
      </c>
      <c r="E39" s="18">
        <f>E38*(1-INPUTS!$B$4)</f>
        <v/>
      </c>
      <c r="F39" s="18">
        <f>F38*(1-INPUTS!$B$4)</f>
        <v/>
      </c>
      <c r="G39" s="18">
        <f>G38*(1-INPUTS!$B$4)</f>
        <v/>
      </c>
      <c r="H39" s="18">
        <f>H38*(1-INPUTS!$B$4)</f>
        <v/>
      </c>
    </row>
    <row r="40">
      <c r="A40" s="3" t="inlineStr">
        <is>
          <t xml:space="preserve">    D&amp;A</t>
        </is>
      </c>
      <c r="B40" s="18">
        <f>B37*INPUTS!B$24</f>
        <v/>
      </c>
      <c r="C40" s="18">
        <f>C37*INPUTS!C$24</f>
        <v/>
      </c>
      <c r="D40" s="18">
        <f>D37*INPUTS!D$24</f>
        <v/>
      </c>
      <c r="E40" s="18">
        <f>E37*INPUTS!E$24</f>
        <v/>
      </c>
      <c r="F40" s="18">
        <f>F37*INPUTS!F$24</f>
        <v/>
      </c>
      <c r="G40" s="18">
        <f>G37*INPUTS!G$24</f>
        <v/>
      </c>
      <c r="H40" s="18">
        <f>H37*INPUTS!H$24</f>
        <v/>
      </c>
    </row>
    <row r="41">
      <c r="A41" s="3" t="inlineStr">
        <is>
          <t xml:space="preserve">    Capex</t>
        </is>
      </c>
      <c r="B41" s="18">
        <f>B37*INPUTS!B$25</f>
        <v/>
      </c>
      <c r="C41" s="18">
        <f>C37*INPUTS!C$25</f>
        <v/>
      </c>
      <c r="D41" s="18">
        <f>D37*INPUTS!D$25</f>
        <v/>
      </c>
      <c r="E41" s="18">
        <f>E37*INPUTS!E$25</f>
        <v/>
      </c>
      <c r="F41" s="18">
        <f>F37*INPUTS!F$25</f>
        <v/>
      </c>
      <c r="G41" s="18">
        <f>G37*INPUTS!G$25</f>
        <v/>
      </c>
      <c r="H41" s="18">
        <f>H37*INPUTS!H$25</f>
        <v/>
      </c>
    </row>
    <row r="42">
      <c r="A42" s="3" t="inlineStr">
        <is>
          <t xml:space="preserve">    NWC</t>
        </is>
      </c>
      <c r="B42" s="18">
        <f>B37*INPUTS!B$26</f>
        <v/>
      </c>
      <c r="C42" s="18">
        <f>C37*INPUTS!C$26</f>
        <v/>
      </c>
      <c r="D42" s="18">
        <f>D37*INPUTS!D$26</f>
        <v/>
      </c>
      <c r="E42" s="18">
        <f>E37*INPUTS!E$26</f>
        <v/>
      </c>
      <c r="F42" s="18">
        <f>F37*INPUTS!F$26</f>
        <v/>
      </c>
      <c r="G42" s="18">
        <f>G37*INPUTS!G$26</f>
        <v/>
      </c>
      <c r="H42" s="18">
        <f>H37*INPUTS!H$26</f>
        <v/>
      </c>
    </row>
    <row r="43">
      <c r="A43" s="3" t="inlineStr">
        <is>
          <t xml:space="preserve">    Change in NWC</t>
        </is>
      </c>
      <c r="B43" s="18">
        <f>B42-HISTORICALS!$K$9</f>
        <v/>
      </c>
      <c r="C43" s="18">
        <f>C42-B42</f>
        <v/>
      </c>
      <c r="D43" s="18">
        <f>D42-C42</f>
        <v/>
      </c>
      <c r="E43" s="18">
        <f>E42-D42</f>
        <v/>
      </c>
      <c r="F43" s="18">
        <f>F42-E42</f>
        <v/>
      </c>
      <c r="G43" s="18">
        <f>G42-F42</f>
        <v/>
      </c>
      <c r="H43" s="18">
        <f>H42-G42</f>
        <v/>
      </c>
    </row>
    <row r="44">
      <c r="A44" s="3" t="inlineStr">
        <is>
          <t xml:space="preserve">    Unlevered FCF</t>
        </is>
      </c>
      <c r="B44" s="18">
        <f>B39+B40-B41-B43</f>
        <v/>
      </c>
      <c r="C44" s="18">
        <f>C39+C40-C41-C43</f>
        <v/>
      </c>
      <c r="D44" s="18">
        <f>D39+D40-D41-D43</f>
        <v/>
      </c>
      <c r="E44" s="18">
        <f>E39+E40-E41-E43</f>
        <v/>
      </c>
      <c r="F44" s="18">
        <f>F39+F40-F41-F43</f>
        <v/>
      </c>
      <c r="G44" s="18">
        <f>G39+G40-G41-G43</f>
        <v/>
      </c>
      <c r="H44" s="18">
        <f>H39+H40-H41-H43</f>
        <v/>
      </c>
    </row>
    <row r="45">
      <c r="A45" s="3" t="inlineStr">
        <is>
          <t xml:space="preserve">    PV of FCF</t>
        </is>
      </c>
      <c r="B45" s="18">
        <f>B44*VALUATION!B$6</f>
        <v/>
      </c>
      <c r="C45" s="18">
        <f>C44*VALUATION!C$6</f>
        <v/>
      </c>
      <c r="D45" s="18">
        <f>D44*VALUATION!D$6</f>
        <v/>
      </c>
      <c r="E45" s="18">
        <f>E44*VALUATION!E$6</f>
        <v/>
      </c>
      <c r="F45" s="18">
        <f>F44*VALUATION!F$6</f>
        <v/>
      </c>
      <c r="G45" s="18">
        <f>G44*VALUATION!G$6</f>
        <v/>
      </c>
      <c r="H45" s="18">
        <f>H44*VALUATION!H$6</f>
        <v/>
      </c>
    </row>
    <row r="46">
      <c r="A46" s="3" t="inlineStr">
        <is>
          <t xml:space="preserve">    Enterprise value</t>
        </is>
      </c>
      <c r="B46" s="18">
        <f>SUM(B45:H45)+H44*(1+INPUTS!$B$11)/(INPUTS!$B$10-INPUTS!$B$11)*VALUATION!$H$6</f>
        <v/>
      </c>
    </row>
    <row r="47">
      <c r="A47" s="3" t="inlineStr">
        <is>
          <t xml:space="preserve">    Value per share</t>
        </is>
      </c>
      <c r="B47" s="38">
        <f>(B46-INPUTS!$B$13)/INPUTS!$B$14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20" customWidth="1" min="5" max="5"/>
    <col width="44" customWidth="1" min="6" max="6"/>
  </cols>
  <sheetData>
    <row r="1">
      <c r="A1" s="1" t="inlineStr">
        <is>
          <t>FOOTBALL FIELD — every method's range on one scale</t>
        </is>
      </c>
    </row>
    <row r="2">
      <c r="A2" s="3" t="inlineStr">
        <is>
          <t>A single number implies a precision none of these methods has. Where the ranges overlap is the useful part.</t>
        </is>
      </c>
    </row>
    <row r="4">
      <c r="A4" s="4" t="inlineStr">
        <is>
          <t>Method</t>
        </is>
      </c>
      <c r="B4" s="4" t="inlineStr">
        <is>
          <t>Low</t>
        </is>
      </c>
      <c r="C4" s="4" t="inlineStr">
        <is>
          <t>High</t>
        </is>
      </c>
      <c r="D4" s="4" t="inlineStr">
        <is>
          <t>Width</t>
        </is>
      </c>
      <c r="E4" s="4" t="inlineStr">
        <is>
          <t>Base (for the chart)</t>
        </is>
      </c>
    </row>
    <row r="5">
      <c r="A5" s="5" t="inlineStr">
        <is>
          <t>Comps — EV/Revenue</t>
        </is>
      </c>
      <c r="B5" s="38">
        <f>RELATIVE_PRICING!L28</f>
        <v/>
      </c>
      <c r="C5" s="38">
        <f>RELATIVE_PRICING!L30</f>
        <v/>
      </c>
      <c r="D5" s="38">
        <f>C5-B5</f>
        <v/>
      </c>
      <c r="E5" s="38">
        <f>B5</f>
        <v/>
      </c>
    </row>
    <row r="6">
      <c r="A6" s="5" t="inlineStr">
        <is>
          <t>Comps — EV/EBITDA</t>
        </is>
      </c>
      <c r="B6" s="38">
        <f>RELATIVE_PRICING!M28</f>
        <v/>
      </c>
      <c r="C6" s="38">
        <f>RELATIVE_PRICING!M30</f>
        <v/>
      </c>
      <c r="D6" s="38">
        <f>C6-B6</f>
        <v/>
      </c>
      <c r="E6" s="38">
        <f>B6</f>
        <v/>
      </c>
    </row>
    <row r="7">
      <c r="A7" s="5" t="inlineStr">
        <is>
          <t>Comps — P/E</t>
        </is>
      </c>
      <c r="B7" s="38">
        <f>RELATIVE_PRICING!N28</f>
        <v/>
      </c>
      <c r="C7" s="38">
        <f>RELATIVE_PRICING!N30</f>
        <v/>
      </c>
      <c r="D7" s="38">
        <f>C7-B7</f>
        <v/>
      </c>
      <c r="E7" s="38">
        <f>B7</f>
        <v/>
      </c>
    </row>
    <row r="8">
      <c r="A8" s="5" t="inlineStr">
        <is>
          <t>DCF — bear to bull</t>
        </is>
      </c>
      <c r="B8" s="38">
        <f>SCENARIOS!C5</f>
        <v/>
      </c>
      <c r="C8" s="38">
        <f>SCENARIOS!C7</f>
        <v/>
      </c>
      <c r="D8" s="38">
        <f>C8-B8</f>
        <v/>
      </c>
      <c r="E8" s="38">
        <f>B8</f>
        <v/>
      </c>
    </row>
    <row r="9">
      <c r="A9" s="5" t="inlineStr">
        <is>
          <t>DCF — WACC/growth grid</t>
        </is>
      </c>
      <c r="B9" s="38">
        <f>MIN(SENSITIVITY!C5:G9)</f>
        <v/>
      </c>
      <c r="C9" s="38">
        <f>MAX(SENSITIVITY!C5:G9)</f>
        <v/>
      </c>
      <c r="D9" s="38">
        <f>C9-B9</f>
        <v/>
      </c>
      <c r="E9" s="38">
        <f>B9</f>
        <v/>
      </c>
    </row>
    <row r="10">
      <c r="A10" s="5" t="inlineStr">
        <is>
          <t>52-week trading range</t>
        </is>
      </c>
      <c r="B10" s="13" t="n">
        <v>18.9</v>
      </c>
      <c r="C10" s="13" t="n">
        <v>26.4</v>
      </c>
      <c r="D10" s="38">
        <f>C10-B10</f>
        <v/>
      </c>
      <c r="E10" s="38">
        <f>B10</f>
        <v/>
      </c>
      <c r="F10" s="7" t="inlineStr">
        <is>
          <t>exchange data, 2026-10-16</t>
        </is>
      </c>
    </row>
    <row r="12">
      <c r="A12" s="5" t="inlineStr">
        <is>
          <t>Current share price</t>
        </is>
      </c>
      <c r="B12" s="45">
        <f>INPUTS!$B$15</f>
        <v/>
      </c>
    </row>
    <row r="13">
      <c r="A13" s="5" t="inlineStr">
        <is>
          <t>DCF base case</t>
        </is>
      </c>
      <c r="B13" s="37">
        <f>VALUATION!B16</f>
        <v/>
      </c>
      <c r="C13" s="7" t="inlineStr">
        <is>
          <t>Read this against the bands above, not on its own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66" customWidth="1" min="3" max="3"/>
  </cols>
  <sheetData>
    <row r="1">
      <c r="A1" s="1" t="inlineStr">
        <is>
          <t>CHECKS — live assertions, recomputed by Excel</t>
        </is>
      </c>
    </row>
    <row r="2">
      <c r="A2" s="3" t="inlineStr">
        <is>
          <t>Every row must read PASS. These recompute identities independently of the cells they test.</t>
        </is>
      </c>
    </row>
    <row r="3">
      <c r="A3" s="4" t="inlineStr">
        <is>
          <t>Check</t>
        </is>
      </c>
      <c r="B3" s="4" t="inlineStr">
        <is>
          <t>Result</t>
        </is>
      </c>
      <c r="C3" s="4" t="inlineStr">
        <is>
          <t>What it proves</t>
        </is>
      </c>
    </row>
    <row r="4">
      <c r="A4" s="5" t="inlineStr">
        <is>
          <t>Enterprise value ties to its components</t>
        </is>
      </c>
      <c r="B4" s="46">
        <f>IF(ABS(VALUATION!B12-(VALUATION!B9+VALUATION!B11))&lt;0.01,"PASS","FAIL")</f>
        <v/>
      </c>
      <c r="C4" s="7" t="inlineStr">
        <is>
          <t>EV = PV of explicit FCF + PV of terminal value</t>
        </is>
      </c>
    </row>
    <row r="5">
      <c r="A5" s="5" t="inlineStr">
        <is>
          <t>Equity bridge ties</t>
        </is>
      </c>
      <c r="B5" s="46">
        <f>IF(ABS(VALUATION!B14-(VALUATION!B12-VALUATION!B13))&lt;0.01,"PASS","FAIL")</f>
        <v/>
      </c>
      <c r="C5" s="7" t="inlineStr">
        <is>
          <t>Equity value = EV less net debt</t>
        </is>
      </c>
    </row>
    <row r="6">
      <c r="A6" s="5" t="inlineStr">
        <is>
          <t>Terminal growth below WACC</t>
        </is>
      </c>
      <c r="B6" s="46">
        <f>IF(INPUTS!$B$11&lt;INPUTS!$B$10,"PASS","FAIL")</f>
        <v/>
      </c>
      <c r="C6" s="7" t="inlineStr">
        <is>
          <t>The perpetuity formula converges</t>
        </is>
      </c>
    </row>
    <row r="7">
      <c r="A7" s="5" t="inlineStr">
        <is>
          <t>Y1 free cash flow identity</t>
        </is>
      </c>
      <c r="B7" s="46">
        <f>IF(ABS(PROJECTION!B12-(PROJECTION!B7+PROJECTION!B8-PROJECTION!B9-PROJECTION!B11))&lt;0.01,"PASS","FAIL")</f>
        <v/>
      </c>
      <c r="C7" s="7" t="inlineStr">
        <is>
          <t>FCF = NOPAT + D&amp;A - capex - change in working capital</t>
        </is>
      </c>
    </row>
    <row r="8">
      <c r="A8" s="5" t="inlineStr">
        <is>
          <t>Final-year free cash flow identity</t>
        </is>
      </c>
      <c r="B8" s="46">
        <f>IF(ABS(PROJECTION!H12-(PROJECTION!H7+PROJECTION!H8-PROJECTION!H9-PROJECTION!H11))&lt;0.01,"PASS","FAIL")</f>
        <v/>
      </c>
      <c r="C8" s="7" t="inlineStr">
        <is>
          <t>The identity holds at the far end of the projection too</t>
        </is>
      </c>
    </row>
    <row r="9">
      <c r="A9" s="5" t="inlineStr">
        <is>
          <t>Revenue growth matches the input</t>
        </is>
      </c>
      <c r="B9" s="46">
        <f>IF(ABS(PROJECTION!C4/PROJECTION!B4-1-INPUTS!C$22)&lt;0.0001,"PASS","FAIL")</f>
        <v/>
      </c>
      <c r="C9" s="7" t="inlineStr">
        <is>
          <t>The projection is actually driven by the growth assumption</t>
        </is>
      </c>
    </row>
    <row r="10">
      <c r="A10" s="5" t="inlineStr">
        <is>
          <t>Discount factors decline</t>
        </is>
      </c>
      <c r="B10" s="46">
        <f>IF(VALUATION!H6&lt;VALUATION!B6,"PASS","FAIL")</f>
        <v/>
      </c>
      <c r="C10" s="7" t="inlineStr">
        <is>
          <t>Discounting runs in the right direction</t>
        </is>
      </c>
    </row>
    <row r="11">
      <c r="A11" s="5" t="inlineStr">
        <is>
          <t>Sensitivity centre equals base case</t>
        </is>
      </c>
      <c r="B11" s="46">
        <f>IF(ABS(SENSITIVITY!E7-VALUATION!B16)&lt;0.01,"PASS","FAIL")</f>
        <v/>
      </c>
      <c r="C11" s="7" t="inlineStr">
        <is>
          <t>The grid is wired to the same model, not a separate one</t>
        </is>
      </c>
    </row>
    <row r="12">
      <c r="A12" s="5" t="inlineStr">
        <is>
          <t>Share count positive</t>
        </is>
      </c>
      <c r="B12" s="46">
        <f>IF(INPUTS!$B$14&gt;0,"PASS","FAIL")</f>
        <v/>
      </c>
      <c r="C12" s="7" t="inlineStr">
        <is>
          <t>No divide-by-zero in per-share figures</t>
        </is>
      </c>
    </row>
    <row r="13">
      <c r="A13" s="5" t="inlineStr">
        <is>
          <t>Projected margin within historical range</t>
        </is>
      </c>
      <c r="B13" s="46">
        <f>IF(AND(INPUTS!B23&lt;=HISTORICALS!$B$19,INPUTS!B23&gt;=HISTORICALS!$B$18),"PASS","REVIEW")</f>
        <v/>
      </c>
      <c r="C13" s="7" t="inlineStr">
        <is>
          <t>Year-1 margin sits inside what the company has actually achieved; REVIEW means justify it, not hide it</t>
        </is>
      </c>
    </row>
    <row r="14">
      <c r="A14" s="5" t="inlineStr">
        <is>
          <t>Segments reconcile to reported revenue</t>
        </is>
      </c>
      <c r="B14" s="46">
        <f>IF(SUMPRODUCT(MAX(ABS(SEGMENTS!B10:K10)))&lt;0.01,"PASS","FAIL")</f>
        <v/>
      </c>
      <c r="C14" s="7" t="inlineStr">
        <is>
          <t>Every reported year's segments add up to the revenue in the accounts</t>
        </is>
      </c>
    </row>
    <row r="15">
      <c r="A15" s="5" t="inlineStr">
        <is>
          <t>Scenario base case equals the headline valuation</t>
        </is>
      </c>
      <c r="B15" s="46">
        <f>IF(ABS(SCENARIOS!C6-VALUATION!B16)&lt;0.01,"PASS","FAIL")</f>
        <v/>
      </c>
      <c r="C15" s="7" t="inlineStr">
        <is>
          <t>The bear/bull cases are re-runs of the same model, not haircuts</t>
        </is>
      </c>
    </row>
    <row r="16">
      <c r="A16" s="5" t="inlineStr">
        <is>
          <t>Scenarios ordered bear &lt; base &lt; bull</t>
        </is>
      </c>
      <c r="B16" s="46">
        <f>IF(AND(SCENARIOS!C5&lt;SCENARIOS!C6,SCENARIOS!C6&lt;SCENARIOS!C7),"PASS","FAIL")</f>
        <v/>
      </c>
      <c r="C16" s="7" t="inlineStr">
        <is>
          <t>Higher growth produces a higher value, or something is wired backwards</t>
        </is>
      </c>
    </row>
    <row r="17">
      <c r="A17" s="5" t="inlineStr">
        <is>
          <t>Assumed growth at or below intrinsic growth</t>
        </is>
      </c>
      <c r="B17" s="46">
        <f>IF(INTRINSIC_GROWTH!B20&lt;=INTRINSIC_GROWTH!B20,IF(INPUTS!B22&lt;=INTRINSIC_GROWTH!B20,"PASS","REVIEW"),"REVIEW")</f>
        <v/>
      </c>
      <c r="C17" s="7" t="inlineStr">
        <is>
          <t>Growth above RR x ROIC has to come from somewhere; REVIEW means say where, not hide it</t>
        </is>
      </c>
    </row>
    <row r="18">
      <c r="A18" s="5" t="inlineStr">
        <is>
          <t>Exit cross-check within 50% of DCF</t>
        </is>
      </c>
      <c r="B18" s="46">
        <f>IF(ABS(VALUATION!B25/VALUATION!B16-1)&lt;0.5,"PASS","REVIEW")</f>
        <v/>
      </c>
      <c r="C18" s="7" t="inlineStr">
        <is>
          <t>Two terminal methods broadly agree; REVIEW means explain the gap</t>
        </is>
      </c>
    </row>
    <row r="20">
      <c r="A20" s="1" t="inlineStr">
        <is>
          <t>OVERALL</t>
        </is>
      </c>
      <c r="B20" s="47">
        <f>IF(COUNTIF(B4:B18,"FAIL")=0,"ALL PASS","FAILURES PRESENT")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2026-10-17T15:06:25Z</dcterms:created>
  <dcterms:modified xmlns:dcterms="http://purl.org/dc/terms/" xmlns:xsi="http://www.w3.org/2001/XMLSchema-instance" xsi:type="dcterms:W3CDTF">2026-10-17T15:06:25Z</dcterms:modified>
</cp:coreProperties>
</file>