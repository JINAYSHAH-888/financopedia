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SOURCES_USES" sheetId="4" state="visible" r:id="rId4"/>
    <sheet xmlns:r="http://schemas.openxmlformats.org/officeDocument/2006/relationships" name="PROJECTION" sheetId="5" state="visible" r:id="rId5"/>
    <sheet xmlns:r="http://schemas.openxmlformats.org/officeDocument/2006/relationships" name="DEBT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x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0000CC"/>
      <sz val="11"/>
    </font>
    <font>
      <name val="Calibri"/>
      <i val="1"/>
      <color rgb="00B45F06"/>
      <sz val="11"/>
    </font>
    <font>
      <name val="Calibri"/>
      <color rgb="00000000"/>
      <sz val="11"/>
    </font>
    <font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E0"/>
      </patternFill>
    </fill>
    <fill>
      <patternFill patternType="solid">
        <fgColor rgb="00EEF2F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5" fillId="0" borderId="1" pivotButton="0" quotePrefix="0" xfId="0"/>
    <xf numFmtId="0" fontId="3" fillId="0" borderId="0" applyAlignment="1" pivotButton="0" quotePrefix="0" xfId="0">
      <alignment vertical="top" wrapText="1"/>
    </xf>
    <xf numFmtId="164" fontId="6" fillId="3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5" fontId="6" fillId="3" borderId="1" pivotButton="0" quotePrefix="0" xfId="0"/>
    <xf numFmtId="1" fontId="5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166" fontId="7" fillId="0" borderId="1" pivotButton="0" quotePrefix="0" xfId="0"/>
    <xf numFmtId="164" fontId="7" fillId="0" borderId="1" pivotButton="0" quotePrefix="0" xfId="0"/>
    <xf numFmtId="166" fontId="7" fillId="4" borderId="1" pivotButton="0" quotePrefix="0" xfId="0"/>
    <xf numFmtId="166" fontId="7" fillId="5" borderId="1" pivotButton="0" quotePrefix="0" xfId="0"/>
    <xf numFmtId="164" fontId="7" fillId="4" borderId="1" pivotButton="0" quotePrefix="0" xfId="0"/>
    <xf numFmtId="164" fontId="7" fillId="5" borderId="1" pivotButton="0" quotePrefix="0" xfId="0"/>
    <xf numFmtId="1" fontId="7" fillId="0" borderId="1" pivotButton="0" quotePrefix="0" xfId="0"/>
    <xf numFmtId="165" fontId="7" fillId="5" borderId="1" pivotButton="0" quotePrefix="0" xfId="0"/>
    <xf numFmtId="164" fontId="2" fillId="4" borderId="1" pivotButton="0" quotePrefix="0" xfId="0"/>
    <xf numFmtId="0" fontId="8" fillId="0" borderId="1" pivotButton="0" quotePrefix="0" xfId="0"/>
    <xf numFmtId="0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112" customWidth="1" min="2" max="2"/>
  </cols>
  <sheetData>
    <row r="1">
      <c r="A1" s="1" t="inlineStr">
        <is>
          <t>Testco Industries plc (TSTC) — LBO model</t>
        </is>
      </c>
    </row>
    <row r="3">
      <c r="A3" s="2" t="inlineStr">
        <is>
          <t>Built</t>
        </is>
      </c>
      <c r="B3" t="inlineStr">
        <is>
          <t>2026-10-17</t>
        </is>
      </c>
    </row>
    <row r="4">
      <c r="A4" s="2" t="inlineStr">
        <is>
          <t>Currency</t>
        </is>
      </c>
      <c r="B4" t="inlineStr">
        <is>
          <t>USD</t>
        </is>
      </c>
    </row>
    <row r="5">
      <c r="A5" s="2" t="inlineStr">
        <is>
          <t>Units</t>
        </is>
      </c>
      <c r="B5" t="inlineStr">
        <is>
          <t>millions</t>
        </is>
      </c>
    </row>
    <row r="6">
      <c r="A6" s="2" t="inlineStr">
        <is>
          <t>Fiscal year end</t>
        </is>
      </c>
      <c r="B6" t="inlineStr">
        <is>
          <t>31 December</t>
        </is>
      </c>
    </row>
    <row r="7">
      <c r="A7" s="2" t="inlineStr">
        <is>
          <t>Generated by</t>
        </is>
      </c>
      <c r="B7" t="inlineStr">
        <is>
          <t>Financopedia build_model.py</t>
        </is>
      </c>
    </row>
    <row r="8">
      <c r="A8" s="2" t="inlineStr"/>
      <c r="B8" t="inlineStr"/>
    </row>
    <row r="9">
      <c r="A9" s="2" t="inlineStr">
        <is>
          <t>Colour key</t>
        </is>
      </c>
      <c r="B9" t="inlineStr">
        <is>
          <t>Blue = input you can change · Black = formula · Amber italic = estimated input</t>
        </is>
      </c>
    </row>
    <row r="10">
      <c r="A10" s="2" t="inlineStr">
        <is>
          <t>Structure</t>
        </is>
      </c>
      <c r="B10" t="inlineStr">
        <is>
          <t>Every figure outside INPUTS and HISTORICALS is a formula. Change an input, the model moves.</t>
        </is>
      </c>
    </row>
    <row r="11">
      <c r="A11" s="2" t="inlineStr">
        <is>
          <t>CHECKS tab</t>
        </is>
      </c>
      <c r="B11" t="inlineStr">
        <is>
          <t>Live assertions recomputing the model's identities. All must read PASS.</t>
        </is>
      </c>
    </row>
    <row r="12">
      <c r="A12" s="2" t="inlineStr">
        <is>
          <t>History</t>
        </is>
      </c>
      <c r="B12" t="inlineStr">
        <is>
          <t>10 reported years; the last is LTM and sizes both the debt and the entry price</t>
        </is>
      </c>
    </row>
    <row r="13">
      <c r="A13" s="2" t="inlineStr">
        <is>
          <t>Hold</t>
        </is>
      </c>
      <c r="B13" t="inlineStr">
        <is>
          <t>5 years to exit</t>
        </is>
      </c>
    </row>
    <row r="14">
      <c r="A14" s="2" t="inlineStr">
        <is>
          <t>Debt sizing</t>
        </is>
      </c>
      <c r="B14" t="inlineStr">
        <is>
          <t>In turns of LTM EBITDA, so the structure does not move when the entry multiple does</t>
        </is>
      </c>
    </row>
    <row r="15">
      <c r="A15" s="2" t="inlineStr">
        <is>
          <t>Interest</t>
        </is>
      </c>
      <c r="B15" t="inlineStr">
        <is>
          <t>Charged on opening balances — no iterative calculation</t>
        </is>
      </c>
    </row>
    <row r="16">
      <c r="A16" s="2" t="inlineStr">
        <is>
          <t>Sweep</t>
        </is>
      </c>
      <c r="B16" t="inlineStr">
        <is>
          <t>Surplus cash above the minimum balance repays tranches in the order they are listed</t>
        </is>
      </c>
    </row>
    <row r="17">
      <c r="A17" s="2" t="inlineStr"/>
      <c r="B17" t="inlineStr"/>
    </row>
    <row r="18">
      <c r="A18" s="2" t="inlineStr">
        <is>
          <t>Scope</t>
        </is>
      </c>
      <c r="B18" t="inlineStr">
        <is>
          <t>Research and analysis only. This workbook expresses no view on whether to buy, sell or transact.</t>
        </is>
      </c>
    </row>
    <row r="19">
      <c r="A19" s="2" t="inlineStr">
        <is>
          <t>Not advice</t>
        </is>
      </c>
      <c r="B19" t="inlineStr">
        <is>
          <t>Not financial advice and not produced by a licensed advisor. Assumptions are estimates and will be wrong to some degree; the sensitivity tab exists to show by how much.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20" customWidth="1" min="4" max="4"/>
    <col width="14" customWidth="1" min="5" max="5"/>
    <col width="52" customWidth="1" min="6" max="6"/>
    <col width="56" customWidth="1" min="7" max="7"/>
  </cols>
  <sheetData>
    <row r="1">
      <c r="A1" s="1" t="inlineStr">
        <is>
          <t>INPUTS — deal terms, capital structure and operating case</t>
        </is>
      </c>
    </row>
    <row r="2">
      <c r="A2" s="3" t="inlineStr">
        <is>
          <t>Debt is sized in turns of LTM EBITDA, so the structure does not move when the entry multiple does.</t>
        </is>
      </c>
    </row>
    <row r="3">
      <c r="A3" s="4" t="inlineStr">
        <is>
          <t>Assumption</t>
        </is>
      </c>
      <c r="B3" s="4" t="inlineStr">
        <is>
          <t>Value</t>
        </is>
      </c>
      <c r="C3" s="4" t="inlineStr">
        <is>
          <t>Unit</t>
        </is>
      </c>
      <c r="G3" s="2" t="inlineStr">
        <is>
          <t>Basis / source</t>
        </is>
      </c>
    </row>
    <row r="4">
      <c r="A4" s="5" t="inlineStr">
        <is>
          <t>Entry EV/EBITDA multiple</t>
        </is>
      </c>
      <c r="B4" s="6" t="n">
        <v>10.5</v>
      </c>
      <c r="C4" t="inlineStr">
        <is>
          <t>x</t>
        </is>
      </c>
      <c r="G4" s="7" t="inlineStr">
        <is>
          <t>Negotiated price per the draft SPA</t>
        </is>
      </c>
    </row>
    <row r="5">
      <c r="A5" s="5" t="inlineStr">
        <is>
          <t>Exit EV/EBITDA multiple</t>
        </is>
      </c>
      <c r="B5" s="8" t="n">
        <v>10.5</v>
      </c>
      <c r="C5" t="inlineStr">
        <is>
          <t>x</t>
        </is>
      </c>
      <c r="G5" s="7" t="inlineStr">
        <is>
          <t>ESTIMATE: held flat to entry, the conservative convention</t>
        </is>
      </c>
    </row>
    <row r="6">
      <c r="A6" s="5" t="inlineStr">
        <is>
          <t>Transaction fees (% of EV)</t>
        </is>
      </c>
      <c r="B6" s="9" t="n">
        <v>0.02</v>
      </c>
      <c r="C6" t="inlineStr">
        <is>
          <t>%</t>
        </is>
      </c>
      <c r="G6" s="7" t="inlineStr">
        <is>
          <t>Advisory fee schedule in the engagement letter</t>
        </is>
      </c>
    </row>
    <row r="7">
      <c r="A7" s="5" t="inlineStr">
        <is>
          <t>Financing fees (% of new debt)</t>
        </is>
      </c>
      <c r="B7" s="9" t="n">
        <v>0.025</v>
      </c>
      <c r="C7" t="inlineStr">
        <is>
          <t>%</t>
        </is>
      </c>
      <c r="G7" s="7" t="inlineStr">
        <is>
          <t>OID and arrangement fees per the commitment papers</t>
        </is>
      </c>
    </row>
    <row r="8">
      <c r="A8" s="5" t="inlineStr">
        <is>
          <t>Rollover equity</t>
        </is>
      </c>
      <c r="B8" s="10" t="n">
        <v>150</v>
      </c>
      <c r="C8" t="inlineStr">
        <is>
          <t>millions</t>
        </is>
      </c>
      <c r="G8" s="7" t="inlineStr">
        <is>
          <t>Management rollover agreed in the term sheet</t>
        </is>
      </c>
    </row>
    <row r="9">
      <c r="A9" s="5" t="inlineStr">
        <is>
          <t>Tax rate</t>
        </is>
      </c>
      <c r="B9" s="9" t="n">
        <v>0.21</v>
      </c>
      <c r="C9" t="inlineStr">
        <is>
          <t>%</t>
        </is>
      </c>
      <c r="G9" s="7" t="inlineStr">
        <is>
          <t>FY2025 effective rate per the 10-K tax footnote</t>
        </is>
      </c>
    </row>
    <row r="10">
      <c r="A10" s="5" t="inlineStr">
        <is>
          <t>Cash sweep (% of surplus)</t>
        </is>
      </c>
      <c r="B10" s="11" t="n">
        <v>0.75</v>
      </c>
      <c r="C10" t="inlineStr">
        <is>
          <t>%</t>
        </is>
      </c>
      <c r="G10" s="7" t="inlineStr">
        <is>
          <t>ESTIMATE: 75% sweep per the draft credit agreement</t>
        </is>
      </c>
    </row>
    <row r="11">
      <c r="A11" s="5" t="inlineStr">
        <is>
          <t>Minimum cash balance</t>
        </is>
      </c>
      <c r="B11" s="10" t="n">
        <v>150</v>
      </c>
      <c r="C11" t="inlineStr">
        <is>
          <t>millions</t>
        </is>
      </c>
      <c r="G11" s="7" t="inlineStr">
        <is>
          <t>Minimum operating cash per management</t>
        </is>
      </c>
    </row>
    <row r="12">
      <c r="A12" s="5" t="inlineStr">
        <is>
          <t>Cash left on the balance sheet at close</t>
        </is>
      </c>
      <c r="B12" s="10" t="n">
        <v>200</v>
      </c>
      <c r="C12" t="inlineStr">
        <is>
          <t>millions</t>
        </is>
      </c>
      <c r="G12" s="7" t="inlineStr">
        <is>
          <t>Cash funded to the balance sheet at close</t>
        </is>
      </c>
    </row>
    <row r="13">
      <c r="A13" s="5" t="inlineStr">
        <is>
          <t>Interest earned on cash</t>
        </is>
      </c>
      <c r="B13" s="9" t="n">
        <v>0.03</v>
      </c>
      <c r="C13" t="inlineStr">
        <is>
          <t>%</t>
        </is>
      </c>
      <c r="G13" s="7" t="inlineStr">
        <is>
          <t>Short-term deposit rate, 2026-10-16</t>
        </is>
      </c>
    </row>
    <row r="14">
      <c r="A14" s="5" t="inlineStr">
        <is>
          <t>Sensitivity: entry multiple step</t>
        </is>
      </c>
      <c r="B14" s="6" t="n">
        <v>0.5</v>
      </c>
      <c r="C14" t="inlineStr">
        <is>
          <t>x</t>
        </is>
      </c>
      <c r="G14" s="7" t="inlineStr"/>
    </row>
    <row r="15">
      <c r="A15" s="5" t="inlineStr">
        <is>
          <t>Sensitivity: exit multiple step</t>
        </is>
      </c>
      <c r="B15" s="6" t="n">
        <v>0.5</v>
      </c>
      <c r="C15" t="inlineStr">
        <is>
          <t>x</t>
        </is>
      </c>
      <c r="G15" s="7" t="inlineStr"/>
    </row>
    <row r="17">
      <c r="A17" s="4" t="inlineStr">
        <is>
          <t>Operating driver</t>
        </is>
      </c>
      <c r="B17" s="4" t="inlineStr">
        <is>
          <t>Y1</t>
        </is>
      </c>
      <c r="C17" s="4" t="inlineStr">
        <is>
          <t>Y2</t>
        </is>
      </c>
      <c r="D17" s="4" t="inlineStr">
        <is>
          <t>Y3</t>
        </is>
      </c>
      <c r="E17" s="4" t="inlineStr">
        <is>
          <t>Y4</t>
        </is>
      </c>
      <c r="F17" s="4" t="inlineStr">
        <is>
          <t>Y5</t>
        </is>
      </c>
      <c r="G17" s="2" t="inlineStr">
        <is>
          <t>Basis / source</t>
        </is>
      </c>
    </row>
    <row r="18">
      <c r="A18" s="5" t="inlineStr">
        <is>
          <t>Revenue growth</t>
        </is>
      </c>
      <c r="B18" s="9" t="n">
        <v>0.07000000000000001</v>
      </c>
      <c r="C18" s="9" t="n">
        <v>0.062</v>
      </c>
      <c r="D18" s="9" t="n">
        <v>0.055</v>
      </c>
      <c r="E18" s="9" t="n">
        <v>0.048</v>
      </c>
      <c r="F18" s="9" t="n">
        <v>0.042</v>
      </c>
      <c r="G18" s="7" t="inlineStr">
        <is>
          <t>Management case presented in the CIM, cross-checked against the 10-year CAGR</t>
        </is>
      </c>
    </row>
    <row r="19">
      <c r="A19" s="5" t="inlineStr">
        <is>
          <t>EBITDA margin</t>
        </is>
      </c>
      <c r="B19" s="11" t="n">
        <v>0.262</v>
      </c>
      <c r="C19" s="11" t="n">
        <v>0.264</v>
      </c>
      <c r="D19" s="11" t="n">
        <v>0.265</v>
      </c>
      <c r="E19" s="11" t="n">
        <v>0.266</v>
      </c>
      <c r="F19" s="11" t="n">
        <v>0.267</v>
      </c>
      <c r="G19" s="7" t="inlineStr">
        <is>
          <t>ESTIMATE: held near FY2025, inside the 10-year range</t>
        </is>
      </c>
    </row>
    <row r="20">
      <c r="A20" s="5" t="inlineStr">
        <is>
          <t>D&amp;A (% of revenue)</t>
        </is>
      </c>
      <c r="B20" s="9" t="n">
        <v>0.049</v>
      </c>
      <c r="C20" s="9" t="n">
        <v>0.049</v>
      </c>
      <c r="D20" s="9" t="n">
        <v>0.049</v>
      </c>
      <c r="E20" s="9" t="n">
        <v>0.049</v>
      </c>
      <c r="F20" s="9" t="n">
        <v>0.049</v>
      </c>
      <c r="G20" s="7" t="inlineStr">
        <is>
          <t>10-year average</t>
        </is>
      </c>
    </row>
    <row r="21">
      <c r="A21" s="5" t="inlineStr">
        <is>
          <t>Capex (% of revenue)</t>
        </is>
      </c>
      <c r="B21" s="9" t="n">
        <v>0.06</v>
      </c>
      <c r="C21" s="9" t="n">
        <v>0.059</v>
      </c>
      <c r="D21" s="9" t="n">
        <v>0.058</v>
      </c>
      <c r="E21" s="9" t="n">
        <v>0.057</v>
      </c>
      <c r="F21" s="9" t="n">
        <v>0.056</v>
      </c>
      <c r="G21" s="7" t="inlineStr">
        <is>
          <t>Y1 guided; fades to the 10-year average</t>
        </is>
      </c>
    </row>
    <row r="22">
      <c r="A22" s="5" t="inlineStr">
        <is>
          <t>Working capital (% of revenue)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7" t="inlineStr">
        <is>
          <t>10-year average working capital intensity</t>
        </is>
      </c>
    </row>
    <row r="24">
      <c r="A24" s="4" t="inlineStr">
        <is>
          <t>Debt tranche (in priority order)</t>
        </is>
      </c>
      <c r="B24" s="4" t="inlineStr">
        <is>
          <t>Turns of EBITDA</t>
        </is>
      </c>
      <c r="C24" s="4" t="inlineStr">
        <is>
          <t>Rate</t>
        </is>
      </c>
      <c r="D24" s="4" t="inlineStr">
        <is>
          <t>Annual amortisation</t>
        </is>
      </c>
      <c r="E24" s="4" t="inlineStr">
        <is>
          <t>In the sweep?</t>
        </is>
      </c>
      <c r="F24" s="2" t="inlineStr">
        <is>
          <t>Basis / source</t>
        </is>
      </c>
    </row>
    <row r="25">
      <c r="A25" s="5" t="inlineStr">
        <is>
          <t>Term Loan A</t>
        </is>
      </c>
      <c r="B25" s="6" t="n">
        <v>2</v>
      </c>
      <c r="C25" s="9" t="n">
        <v>0.065</v>
      </c>
      <c r="D25" s="9" t="n">
        <v>0.1</v>
      </c>
      <c r="E25" s="12" t="n">
        <v>1</v>
      </c>
      <c r="F25" s="7" t="inlineStr">
        <is>
          <t>Commitment papers: 2.0x LTM EBITDA, SOFR+275, 10% annual amortisation</t>
        </is>
      </c>
    </row>
    <row r="26">
      <c r="A26" s="5" t="inlineStr">
        <is>
          <t>Term Loan B</t>
        </is>
      </c>
      <c r="B26" s="6" t="n">
        <v>2.5</v>
      </c>
      <c r="C26" s="9" t="n">
        <v>0.075</v>
      </c>
      <c r="D26" s="9" t="n">
        <v>0.01</v>
      </c>
      <c r="E26" s="12" t="n">
        <v>1</v>
      </c>
      <c r="F26" s="7" t="inlineStr">
        <is>
          <t>Commitment papers: 2.5x LTM EBITDA, SOFR+375, 1% annual amortisation</t>
        </is>
      </c>
    </row>
    <row r="27">
      <c r="A27" s="5" t="inlineStr">
        <is>
          <t>Mezzanine</t>
        </is>
      </c>
      <c r="B27" s="6" t="n">
        <v>1</v>
      </c>
      <c r="C27" s="9" t="n">
        <v>0.11</v>
      </c>
      <c r="D27" s="9" t="n">
        <v>0</v>
      </c>
      <c r="E27" s="12" t="n">
        <v>0</v>
      </c>
      <c r="F27" s="7" t="inlineStr">
        <is>
          <t>Mezzanine term sheet: 1.0x LTM EBITDA, 11% cash pay, bullet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6" customWidth="1" min="12" max="12"/>
  </cols>
  <sheetData>
    <row r="1">
      <c r="A1" s="1" t="inlineStr">
        <is>
          <t>HISTORICALS — 10 reported years</t>
        </is>
      </c>
    </row>
    <row r="2">
      <c r="A2" s="3" t="inlineStr">
        <is>
          <t>The last column is LTM: it sizes the debt and prices the entry, so it carries more weight than any other figure here.</t>
        </is>
      </c>
    </row>
    <row r="3">
      <c r="A3" s="4" t="inlineStr">
        <is>
          <t>Metric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  <c r="L3" s="2" t="inlineStr">
        <is>
          <t>Source (filing, date)</t>
        </is>
      </c>
    </row>
    <row r="4">
      <c r="A4" s="5" t="inlineStr">
        <is>
          <t>Revenue</t>
        </is>
      </c>
      <c r="B4" s="10" t="n">
        <v>2150</v>
      </c>
      <c r="C4" s="10" t="n">
        <v>2365</v>
      </c>
      <c r="D4" s="10" t="n">
        <v>2580</v>
      </c>
      <c r="E4" s="10" t="n">
        <v>2790</v>
      </c>
      <c r="F4" s="10" t="n">
        <v>2510</v>
      </c>
      <c r="G4" s="10" t="n">
        <v>2980</v>
      </c>
      <c r="H4" s="10" t="n">
        <v>3320</v>
      </c>
      <c r="I4" s="10" t="n">
        <v>3610</v>
      </c>
      <c r="J4" s="10" t="n">
        <v>3940</v>
      </c>
      <c r="K4" s="10" t="n">
        <v>4280</v>
      </c>
      <c r="L4" s="7" t="inlineStr">
        <is>
          <t>FY2016-FY2025 10-K filings; FY2025 filed 2026-02-14 (revenue)</t>
        </is>
      </c>
    </row>
    <row r="5">
      <c r="A5" s="5" t="inlineStr">
        <is>
          <t>EBITDA</t>
        </is>
      </c>
      <c r="B5" s="10" t="n">
        <v>473.1</v>
      </c>
      <c r="C5" s="10" t="n">
        <v>536.9</v>
      </c>
      <c r="D5" s="10" t="n">
        <v>596</v>
      </c>
      <c r="E5" s="10" t="n">
        <v>655.6</v>
      </c>
      <c r="F5" s="10" t="n">
        <v>479.4</v>
      </c>
      <c r="G5" s="10" t="n">
        <v>727.1</v>
      </c>
      <c r="H5" s="10" t="n">
        <v>830</v>
      </c>
      <c r="I5" s="10" t="n">
        <v>920.6</v>
      </c>
      <c r="J5" s="10" t="n">
        <v>1020.5</v>
      </c>
      <c r="K5" s="10" t="n">
        <v>1129.9</v>
      </c>
      <c r="L5" s="7" t="inlineStr">
        <is>
          <t>FY2016-FY2025 10-K filings; FY2025 filed 2026-02-14 (ebitda)</t>
        </is>
      </c>
    </row>
    <row r="6">
      <c r="A6" s="5" t="inlineStr">
        <is>
          <t>Capex</t>
        </is>
      </c>
      <c r="B6" s="10" t="n">
        <v>133.3</v>
      </c>
      <c r="C6" s="10" t="n">
        <v>153.7</v>
      </c>
      <c r="D6" s="10" t="n">
        <v>157.4</v>
      </c>
      <c r="E6" s="10" t="n">
        <v>161.8</v>
      </c>
      <c r="F6" s="10" t="n">
        <v>102.9</v>
      </c>
      <c r="G6" s="10" t="n">
        <v>175.8</v>
      </c>
      <c r="H6" s="10" t="n">
        <v>209.2</v>
      </c>
      <c r="I6" s="10" t="n">
        <v>216.6</v>
      </c>
      <c r="J6" s="10" t="n">
        <v>228.5</v>
      </c>
      <c r="K6" s="10" t="n">
        <v>256.8</v>
      </c>
      <c r="L6" s="7" t="inlineStr">
        <is>
          <t>FY2016-FY2025 10-K filings; FY2025 filed 2026-02-14 (capex)</t>
        </is>
      </c>
    </row>
    <row r="7">
      <c r="A7" s="5" t="inlineStr">
        <is>
          <t>Net working capital (balance)</t>
        </is>
      </c>
      <c r="B7" s="10" t="n">
        <v>215</v>
      </c>
      <c r="C7" s="10" t="n">
        <v>236.5</v>
      </c>
      <c r="D7" s="10" t="n">
        <v>258</v>
      </c>
      <c r="E7" s="10" t="n">
        <v>279</v>
      </c>
      <c r="F7" s="10" t="n">
        <v>251</v>
      </c>
      <c r="G7" s="10" t="n">
        <v>298</v>
      </c>
      <c r="H7" s="10" t="n">
        <v>332</v>
      </c>
      <c r="I7" s="10" t="n">
        <v>361</v>
      </c>
      <c r="J7" s="10" t="n">
        <v>394</v>
      </c>
      <c r="K7" s="10" t="n">
        <v>428</v>
      </c>
      <c r="L7" s="7" t="inlineStr">
        <is>
          <t>FY2016-FY2025 10-K filings; FY2025 filed 2026-02-14 (nwc_balance)</t>
        </is>
      </c>
    </row>
    <row r="8">
      <c r="A8" s="5" t="inlineStr">
        <is>
          <t>EBITDA margin</t>
        </is>
      </c>
      <c r="B8" s="13">
        <f>B5/B4</f>
        <v/>
      </c>
      <c r="C8" s="13">
        <f>C5/C4</f>
        <v/>
      </c>
      <c r="D8" s="13">
        <f>D5/D4</f>
        <v/>
      </c>
      <c r="E8" s="13">
        <f>E5/E4</f>
        <v/>
      </c>
      <c r="F8" s="13">
        <f>F5/F4</f>
        <v/>
      </c>
      <c r="G8" s="13">
        <f>G5/G4</f>
        <v/>
      </c>
      <c r="H8" s="13">
        <f>H5/H4</f>
        <v/>
      </c>
      <c r="I8" s="13">
        <f>I5/I4</f>
        <v/>
      </c>
      <c r="J8" s="13">
        <f>J5/J4</f>
        <v/>
      </c>
      <c r="K8" s="13">
        <f>K5/K4</f>
        <v/>
      </c>
    </row>
    <row r="10">
      <c r="A10" s="1" t="inlineStr">
        <is>
          <t>What 10 years of history says</t>
        </is>
      </c>
    </row>
    <row r="11">
      <c r="A11" s="5" t="inlineStr">
        <is>
          <t>Revenue CAGR over the period</t>
        </is>
      </c>
      <c r="B11" s="14">
        <f>((K4/B4)^(1/9))-1</f>
        <v/>
      </c>
      <c r="C11" s="7" t="inlineStr">
        <is>
          <t>A leveraged structure is paid down out of growth; compare with the case</t>
        </is>
      </c>
    </row>
    <row r="12">
      <c r="A12" s="5" t="inlineStr">
        <is>
          <t>EBITDA margin — average</t>
        </is>
      </c>
      <c r="B12" s="14">
        <f>AVERAGE(B8:K8)</f>
        <v/>
      </c>
    </row>
    <row r="13">
      <c r="A13" s="5" t="inlineStr">
        <is>
          <t>EBITDA margin — worst year</t>
        </is>
      </c>
      <c r="B13" s="14">
        <f>MIN(B8:K8)</f>
        <v/>
      </c>
      <c r="C13" s="7" t="inlineStr">
        <is>
          <t>Test the structure against this, not the average — covenants break in bad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</cols>
  <sheetData>
    <row r="1">
      <c r="A1" s="1" t="inlineStr">
        <is>
          <t>SOURCES AND USES — the entry</t>
        </is>
      </c>
    </row>
    <row r="2">
      <c r="A2" s="3" t="inlineStr">
        <is>
          <t>Sponsor equity is the plug: it is whatever the uses are not funded by.</t>
        </is>
      </c>
    </row>
    <row r="3">
      <c r="A3" s="4" t="inlineStr">
        <is>
          <t>Item</t>
        </is>
      </c>
      <c r="B3" s="4" t="inlineStr">
        <is>
          <t>Amount</t>
        </is>
      </c>
      <c r="C3" s="4" t="inlineStr">
        <is>
          <t>Turns of EBITDA</t>
        </is>
      </c>
    </row>
    <row r="4">
      <c r="A4" s="5" t="inlineStr">
        <is>
          <t>LTM EBITDA</t>
        </is>
      </c>
      <c r="B4" s="15">
        <f>HISTORICALS!K5</f>
        <v/>
      </c>
    </row>
    <row r="5">
      <c r="A5" s="5" t="inlineStr">
        <is>
          <t>Entry multiple</t>
        </is>
      </c>
      <c r="B5" s="16">
        <f>INPUTS!$B$4</f>
        <v/>
      </c>
    </row>
    <row r="6">
      <c r="A6" s="5" t="inlineStr">
        <is>
          <t>Entry enterprise value</t>
        </is>
      </c>
      <c r="B6" s="17">
        <f>B4*B5</f>
        <v/>
      </c>
    </row>
    <row r="8">
      <c r="A8" s="1" t="inlineStr">
        <is>
          <t>SOURCES</t>
        </is>
      </c>
    </row>
    <row r="9">
      <c r="A9" s="5" t="inlineStr">
        <is>
          <t>Term Loan A</t>
        </is>
      </c>
      <c r="B9" s="15">
        <f>INPUTS!B25*$B$4</f>
        <v/>
      </c>
      <c r="C9" s="16">
        <f>B9/$B$4</f>
        <v/>
      </c>
    </row>
    <row r="10">
      <c r="A10" s="5" t="inlineStr">
        <is>
          <t>Term Loan B</t>
        </is>
      </c>
      <c r="B10" s="15">
        <f>INPUTS!B26*$B$4</f>
        <v/>
      </c>
      <c r="C10" s="16">
        <f>B10/$B$4</f>
        <v/>
      </c>
    </row>
    <row r="11">
      <c r="A11" s="5" t="inlineStr">
        <is>
          <t>Mezzanine</t>
        </is>
      </c>
      <c r="B11" s="15">
        <f>INPUTS!B27*$B$4</f>
        <v/>
      </c>
      <c r="C11" s="16">
        <f>B11/$B$4</f>
        <v/>
      </c>
    </row>
    <row r="12">
      <c r="A12" s="5" t="inlineStr">
        <is>
          <t>Total new debt</t>
        </is>
      </c>
      <c r="B12" s="15">
        <f>SUM(B9:B11)</f>
        <v/>
      </c>
      <c r="C12" s="16">
        <f>B12/$B$4</f>
        <v/>
      </c>
    </row>
    <row r="13">
      <c r="A13" s="5" t="inlineStr">
        <is>
          <t>Rollover equity</t>
        </is>
      </c>
      <c r="B13" s="15">
        <f>INPUTS!$B$8</f>
        <v/>
      </c>
    </row>
    <row r="14">
      <c r="A14" s="5" t="inlineStr">
        <is>
          <t>Sponsor equity (plug)</t>
        </is>
      </c>
      <c r="B14" s="18">
        <f>B22-B12-B13</f>
        <v/>
      </c>
    </row>
    <row r="15">
      <c r="A15" s="5" t="inlineStr">
        <is>
          <t>Total sources</t>
        </is>
      </c>
      <c r="B15" s="15">
        <f>B12+B13+B14</f>
        <v/>
      </c>
    </row>
    <row r="17">
      <c r="A17" s="1" t="inlineStr">
        <is>
          <t>USES</t>
        </is>
      </c>
    </row>
    <row r="18">
      <c r="A18" s="5" t="inlineStr">
        <is>
          <t>Purchase of enterprise</t>
        </is>
      </c>
      <c r="B18" s="15">
        <f>B6</f>
        <v/>
      </c>
    </row>
    <row r="19">
      <c r="A19" s="5" t="inlineStr">
        <is>
          <t>Transaction fees</t>
        </is>
      </c>
      <c r="B19" s="15">
        <f>B6*INPUTS!$B$6</f>
        <v/>
      </c>
    </row>
    <row r="20">
      <c r="A20" s="5" t="inlineStr">
        <is>
          <t>Financing fees</t>
        </is>
      </c>
      <c r="B20" s="15">
        <f>B12*INPUTS!$B$7</f>
        <v/>
      </c>
    </row>
    <row r="21">
      <c r="A21" s="5" t="inlineStr">
        <is>
          <t>Cash to the balance sheet</t>
        </is>
      </c>
      <c r="B21" s="15">
        <f>INPUTS!$B$12</f>
        <v/>
      </c>
    </row>
    <row r="22">
      <c r="A22" s="5" t="inlineStr">
        <is>
          <t>Total uses</t>
        </is>
      </c>
      <c r="B22" s="15">
        <f>SUM(B18:B21)</f>
        <v/>
      </c>
    </row>
    <row r="24">
      <c r="A24" s="5" t="inlineStr">
        <is>
          <t>Check: sources − uses</t>
        </is>
      </c>
      <c r="B24" s="18">
        <f>B15-B22</f>
        <v/>
      </c>
    </row>
    <row r="25">
      <c r="A25" s="5" t="inlineStr">
        <is>
          <t>Net debt at close</t>
        </is>
      </c>
      <c r="B25" s="15">
        <f>B12-INPUTS!$B$12</f>
        <v/>
      </c>
    </row>
    <row r="26">
      <c r="A26" s="5" t="inlineStr">
        <is>
          <t>Entry equity value (EV − net debt)</t>
        </is>
      </c>
      <c r="B26" s="15">
        <f>B6-B25</f>
        <v/>
      </c>
    </row>
    <row r="27">
      <c r="A27" s="5" t="inlineStr">
        <is>
          <t>Opening leverage (net debt / EBITDA)</t>
        </is>
      </c>
      <c r="B27" s="19">
        <f>B25/B4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PROJECTION — the operating case under the new structure</t>
        </is>
      </c>
    </row>
    <row r="2">
      <c r="A2" s="3" t="inlineStr">
        <is>
          <t>Interest comes from the DEBT tab and is charged on opening balances, so nothing here is circular.</t>
        </is>
      </c>
    </row>
    <row r="3">
      <c r="A3" s="4" t="inlineStr">
        <is>
          <t>Metric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</row>
    <row r="4">
      <c r="A4" s="5" t="inlineStr">
        <is>
          <t>Revenue</t>
        </is>
      </c>
      <c r="B4" s="15">
        <f>HISTORICALS!$K$4*(1+INPUTS!B$18)</f>
        <v/>
      </c>
      <c r="C4" s="15">
        <f>B4*(1+INPUTS!C$18)</f>
        <v/>
      </c>
      <c r="D4" s="15">
        <f>C4*(1+INPUTS!D$18)</f>
        <v/>
      </c>
      <c r="E4" s="15">
        <f>D4*(1+INPUTS!E$18)</f>
        <v/>
      </c>
      <c r="F4" s="15">
        <f>E4*(1+INPUTS!F$18)</f>
        <v/>
      </c>
    </row>
    <row r="5">
      <c r="A5" s="5" t="inlineStr">
        <is>
          <t>EBITDA</t>
        </is>
      </c>
      <c r="B5" s="18">
        <f>B4*INPUTS!B$19</f>
        <v/>
      </c>
      <c r="C5" s="18">
        <f>C4*INPUTS!C$19</f>
        <v/>
      </c>
      <c r="D5" s="18">
        <f>D4*INPUTS!D$19</f>
        <v/>
      </c>
      <c r="E5" s="18">
        <f>E4*INPUTS!E$19</f>
        <v/>
      </c>
      <c r="F5" s="18">
        <f>F4*INPUTS!F$19</f>
        <v/>
      </c>
    </row>
    <row r="6">
      <c r="A6" s="5" t="inlineStr">
        <is>
          <t>D&amp;A</t>
        </is>
      </c>
      <c r="B6" s="15">
        <f>B4*INPUTS!B$20</f>
        <v/>
      </c>
      <c r="C6" s="15">
        <f>C4*INPUTS!C$20</f>
        <v/>
      </c>
      <c r="D6" s="15">
        <f>D4*INPUTS!D$20</f>
        <v/>
      </c>
      <c r="E6" s="15">
        <f>E4*INPUTS!E$20</f>
        <v/>
      </c>
      <c r="F6" s="15">
        <f>F4*INPUTS!F$20</f>
        <v/>
      </c>
    </row>
    <row r="7">
      <c r="A7" s="5" t="inlineStr">
        <is>
          <t>EBIT</t>
        </is>
      </c>
      <c r="B7" s="15">
        <f>B5-B6</f>
        <v/>
      </c>
      <c r="C7" s="15">
        <f>C5-C6</f>
        <v/>
      </c>
      <c r="D7" s="15">
        <f>D5-D6</f>
        <v/>
      </c>
      <c r="E7" s="15">
        <f>E5-E6</f>
        <v/>
      </c>
      <c r="F7" s="15">
        <f>F5-F6</f>
        <v/>
      </c>
    </row>
    <row r="8">
      <c r="A8" s="5" t="inlineStr">
        <is>
          <t>Interest expense</t>
        </is>
      </c>
      <c r="B8" s="15">
        <f>DEBT!B27</f>
        <v/>
      </c>
      <c r="C8" s="15">
        <f>DEBT!C27</f>
        <v/>
      </c>
      <c r="D8" s="15">
        <f>DEBT!D27</f>
        <v/>
      </c>
      <c r="E8" s="15">
        <f>DEBT!E27</f>
        <v/>
      </c>
      <c r="F8" s="15">
        <f>DEBT!F27</f>
        <v/>
      </c>
    </row>
    <row r="9">
      <c r="A9" s="5" t="inlineStr">
        <is>
          <t>Interest income</t>
        </is>
      </c>
      <c r="B9" s="15">
        <f>DEBT!B28*INPUTS!$B$13</f>
        <v/>
      </c>
      <c r="C9" s="15">
        <f>DEBT!C28*INPUTS!$B$13</f>
        <v/>
      </c>
      <c r="D9" s="15">
        <f>DEBT!D28*INPUTS!$B$13</f>
        <v/>
      </c>
      <c r="E9" s="15">
        <f>DEBT!E28*INPUTS!$B$13</f>
        <v/>
      </c>
      <c r="F9" s="15">
        <f>DEBT!F28*INPUTS!$B$13</f>
        <v/>
      </c>
    </row>
    <row r="10">
      <c r="A10" s="5" t="inlineStr">
        <is>
          <t>Profit before tax</t>
        </is>
      </c>
      <c r="B10" s="15">
        <f>B7-B8+B9</f>
        <v/>
      </c>
      <c r="C10" s="15">
        <f>C7-C8+C9</f>
        <v/>
      </c>
      <c r="D10" s="15">
        <f>D7-D8+D9</f>
        <v/>
      </c>
      <c r="E10" s="15">
        <f>E7-E8+E9</f>
        <v/>
      </c>
      <c r="F10" s="15">
        <f>F7-F8+F9</f>
        <v/>
      </c>
    </row>
    <row r="11">
      <c r="A11" s="5" t="inlineStr">
        <is>
          <t>Tax</t>
        </is>
      </c>
      <c r="B11" s="15">
        <f>MAX(B10,0)*INPUTS!$B$9</f>
        <v/>
      </c>
      <c r="C11" s="15">
        <f>MAX(C10,0)*INPUTS!$B$9</f>
        <v/>
      </c>
      <c r="D11" s="15">
        <f>MAX(D10,0)*INPUTS!$B$9</f>
        <v/>
      </c>
      <c r="E11" s="15">
        <f>MAX(E10,0)*INPUTS!$B$9</f>
        <v/>
      </c>
      <c r="F11" s="15">
        <f>MAX(F10,0)*INPUTS!$B$9</f>
        <v/>
      </c>
    </row>
    <row r="12">
      <c r="A12" s="5" t="inlineStr">
        <is>
          <t>Net income</t>
        </is>
      </c>
      <c r="B12" s="15">
        <f>B10-B11</f>
        <v/>
      </c>
      <c r="C12" s="15">
        <f>C10-C11</f>
        <v/>
      </c>
      <c r="D12" s="15">
        <f>D10-D11</f>
        <v/>
      </c>
      <c r="E12" s="15">
        <f>E10-E11</f>
        <v/>
      </c>
      <c r="F12" s="15">
        <f>F10-F11</f>
        <v/>
      </c>
    </row>
    <row r="13">
      <c r="A13" s="5" t="inlineStr">
        <is>
          <t>Capex</t>
        </is>
      </c>
      <c r="B13" s="15">
        <f>B4*INPUTS!B$21</f>
        <v/>
      </c>
      <c r="C13" s="15">
        <f>C4*INPUTS!C$21</f>
        <v/>
      </c>
      <c r="D13" s="15">
        <f>D4*INPUTS!D$21</f>
        <v/>
      </c>
      <c r="E13" s="15">
        <f>E4*INPUTS!E$21</f>
        <v/>
      </c>
      <c r="F13" s="15">
        <f>F4*INPUTS!F$21</f>
        <v/>
      </c>
    </row>
    <row r="14">
      <c r="A14" s="5" t="inlineStr">
        <is>
          <t>Working capital (balance)</t>
        </is>
      </c>
      <c r="B14" s="15">
        <f>B4*INPUTS!B$22</f>
        <v/>
      </c>
      <c r="C14" s="15">
        <f>C4*INPUTS!C$22</f>
        <v/>
      </c>
      <c r="D14" s="15">
        <f>D4*INPUTS!D$22</f>
        <v/>
      </c>
      <c r="E14" s="15">
        <f>E4*INPUTS!E$22</f>
        <v/>
      </c>
      <c r="F14" s="15">
        <f>F4*INPUTS!F$22</f>
        <v/>
      </c>
    </row>
    <row r="15">
      <c r="A15" s="5" t="inlineStr">
        <is>
          <t>Change in working capital</t>
        </is>
      </c>
      <c r="B15" s="15">
        <f>B14-HISTORICALS!$K$7</f>
        <v/>
      </c>
      <c r="C15" s="15">
        <f>C14-B14</f>
        <v/>
      </c>
      <c r="D15" s="15">
        <f>D14-C14</f>
        <v/>
      </c>
      <c r="E15" s="15">
        <f>E14-D14</f>
        <v/>
      </c>
      <c r="F15" s="15">
        <f>F14-E14</f>
        <v/>
      </c>
    </row>
    <row r="16">
      <c r="A16" s="5" t="inlineStr">
        <is>
          <t>Free cash flow before debt service</t>
        </is>
      </c>
      <c r="B16" s="18">
        <f>B12+B6-B13-B15</f>
        <v/>
      </c>
      <c r="C16" s="18">
        <f>C12+C6-C13-C15</f>
        <v/>
      </c>
      <c r="D16" s="18">
        <f>D12+D6-D13-D15</f>
        <v/>
      </c>
      <c r="E16" s="18">
        <f>E12+E6-E13-E15</f>
        <v/>
      </c>
      <c r="F16" s="18">
        <f>F12+F6-F13-F15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DEBT SCHEDULE — mandatory amortisation then cash sweep</t>
        </is>
      </c>
    </row>
    <row r="2">
      <c r="A2" s="3" t="inlineStr">
        <is>
          <t>Tranches are swept in the order listed. Each year's interest is charged on that year's opening balance.</t>
        </is>
      </c>
    </row>
    <row r="3">
      <c r="A3" s="4" t="inlineStr">
        <is>
          <t>Line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</row>
    <row r="4">
      <c r="A4" s="1" t="inlineStr">
        <is>
          <t>Term Loan A</t>
        </is>
      </c>
    </row>
    <row r="5">
      <c r="A5" s="5" t="inlineStr">
        <is>
          <t xml:space="preserve">    Opening balance</t>
        </is>
      </c>
      <c r="B5" s="15">
        <f>SOURCES_USES!$B$9</f>
        <v/>
      </c>
      <c r="C5" s="15">
        <f>B8</f>
        <v/>
      </c>
      <c r="D5" s="15">
        <f>C8</f>
        <v/>
      </c>
      <c r="E5" s="15">
        <f>D8</f>
        <v/>
      </c>
      <c r="F5" s="15">
        <f>E8</f>
        <v/>
      </c>
    </row>
    <row r="6">
      <c r="A6" s="5" t="inlineStr">
        <is>
          <t xml:space="preserve">    Mandatory amortisation</t>
        </is>
      </c>
      <c r="B6" s="15">
        <f>MIN(INPUTS!$D$25*SOURCES_USES!$B$9,B5)</f>
        <v/>
      </c>
      <c r="C6" s="15">
        <f>MIN(INPUTS!$D$25*SOURCES_USES!$B$9,C5)</f>
        <v/>
      </c>
      <c r="D6" s="15">
        <f>MIN(INPUTS!$D$25*SOURCES_USES!$B$9,D5)</f>
        <v/>
      </c>
      <c r="E6" s="15">
        <f>MIN(INPUTS!$D$25*SOURCES_USES!$B$9,E5)</f>
        <v/>
      </c>
      <c r="F6" s="15">
        <f>MIN(INPUTS!$D$25*SOURCES_USES!$B$9,F5)</f>
        <v/>
      </c>
    </row>
    <row r="7">
      <c r="A7" s="5" t="inlineStr">
        <is>
          <t xml:space="preserve">    Cash sweep</t>
        </is>
      </c>
      <c r="B7" s="15">
        <f>INPUTS!$E$25*MIN(B5-B6,MAX(0,B31))</f>
        <v/>
      </c>
      <c r="C7" s="15">
        <f>INPUTS!$E$25*MIN(C5-C6,MAX(0,C31))</f>
        <v/>
      </c>
      <c r="D7" s="15">
        <f>INPUTS!$E$25*MIN(D5-D6,MAX(0,D31))</f>
        <v/>
      </c>
      <c r="E7" s="15">
        <f>INPUTS!$E$25*MIN(E5-E6,MAX(0,E31))</f>
        <v/>
      </c>
      <c r="F7" s="15">
        <f>INPUTS!$E$25*MIN(F5-F6,MAX(0,F31))</f>
        <v/>
      </c>
    </row>
    <row r="8">
      <c r="A8" s="5" t="inlineStr">
        <is>
          <t xml:space="preserve">    Closing balance</t>
        </is>
      </c>
      <c r="B8" s="15">
        <f>B5-B6-B7</f>
        <v/>
      </c>
      <c r="C8" s="15">
        <f>C5-C6-C7</f>
        <v/>
      </c>
      <c r="D8" s="15">
        <f>D5-D6-D7</f>
        <v/>
      </c>
      <c r="E8" s="15">
        <f>E5-E6-E7</f>
        <v/>
      </c>
      <c r="F8" s="15">
        <f>F5-F6-F7</f>
        <v/>
      </c>
    </row>
    <row r="9">
      <c r="A9" s="5" t="inlineStr">
        <is>
          <t xml:space="preserve">    Interest expense</t>
        </is>
      </c>
      <c r="B9" s="15">
        <f>B5*INPUTS!$C$25</f>
        <v/>
      </c>
      <c r="C9" s="15">
        <f>C5*INPUTS!$C$25</f>
        <v/>
      </c>
      <c r="D9" s="15">
        <f>D5*INPUTS!$C$25</f>
        <v/>
      </c>
      <c r="E9" s="15">
        <f>E5*INPUTS!$C$25</f>
        <v/>
      </c>
      <c r="F9" s="15">
        <f>F5*INPUTS!$C$25</f>
        <v/>
      </c>
    </row>
    <row r="10">
      <c r="A10" s="1" t="inlineStr">
        <is>
          <t>Term Loan B</t>
        </is>
      </c>
    </row>
    <row r="11">
      <c r="A11" s="5" t="inlineStr">
        <is>
          <t xml:space="preserve">    Opening balance</t>
        </is>
      </c>
      <c r="B11" s="15">
        <f>SOURCES_USES!$B$10</f>
        <v/>
      </c>
      <c r="C11" s="15">
        <f>B14</f>
        <v/>
      </c>
      <c r="D11" s="15">
        <f>C14</f>
        <v/>
      </c>
      <c r="E11" s="15">
        <f>D14</f>
        <v/>
      </c>
      <c r="F11" s="15">
        <f>E14</f>
        <v/>
      </c>
    </row>
    <row r="12">
      <c r="A12" s="5" t="inlineStr">
        <is>
          <t xml:space="preserve">    Mandatory amortisation</t>
        </is>
      </c>
      <c r="B12" s="15">
        <f>MIN(INPUTS!$D$26*SOURCES_USES!$B$10,B11)</f>
        <v/>
      </c>
      <c r="C12" s="15">
        <f>MIN(INPUTS!$D$26*SOURCES_USES!$B$10,C11)</f>
        <v/>
      </c>
      <c r="D12" s="15">
        <f>MIN(INPUTS!$D$26*SOURCES_USES!$B$10,D11)</f>
        <v/>
      </c>
      <c r="E12" s="15">
        <f>MIN(INPUTS!$D$26*SOURCES_USES!$B$10,E11)</f>
        <v/>
      </c>
      <c r="F12" s="15">
        <f>MIN(INPUTS!$D$26*SOURCES_USES!$B$10,F11)</f>
        <v/>
      </c>
    </row>
    <row r="13">
      <c r="A13" s="5" t="inlineStr">
        <is>
          <t xml:space="preserve">    Cash sweep</t>
        </is>
      </c>
      <c r="B13" s="15">
        <f>INPUTS!$E$26*MIN(B11-B12,MAX(0,B31-B7))</f>
        <v/>
      </c>
      <c r="C13" s="15">
        <f>INPUTS!$E$26*MIN(C11-C12,MAX(0,C31-C7))</f>
        <v/>
      </c>
      <c r="D13" s="15">
        <f>INPUTS!$E$26*MIN(D11-D12,MAX(0,D31-D7))</f>
        <v/>
      </c>
      <c r="E13" s="15">
        <f>INPUTS!$E$26*MIN(E11-E12,MAX(0,E31-E7))</f>
        <v/>
      </c>
      <c r="F13" s="15">
        <f>INPUTS!$E$26*MIN(F11-F12,MAX(0,F31-F7))</f>
        <v/>
      </c>
    </row>
    <row r="14">
      <c r="A14" s="5" t="inlineStr">
        <is>
          <t xml:space="preserve">    Closing balance</t>
        </is>
      </c>
      <c r="B14" s="15">
        <f>B11-B12-B13</f>
        <v/>
      </c>
      <c r="C14" s="15">
        <f>C11-C12-C13</f>
        <v/>
      </c>
      <c r="D14" s="15">
        <f>D11-D12-D13</f>
        <v/>
      </c>
      <c r="E14" s="15">
        <f>E11-E12-E13</f>
        <v/>
      </c>
      <c r="F14" s="15">
        <f>F11-F12-F13</f>
        <v/>
      </c>
    </row>
    <row r="15">
      <c r="A15" s="5" t="inlineStr">
        <is>
          <t xml:space="preserve">    Interest expense</t>
        </is>
      </c>
      <c r="B15" s="15">
        <f>B11*INPUTS!$C$26</f>
        <v/>
      </c>
      <c r="C15" s="15">
        <f>C11*INPUTS!$C$26</f>
        <v/>
      </c>
      <c r="D15" s="15">
        <f>D11*INPUTS!$C$26</f>
        <v/>
      </c>
      <c r="E15" s="15">
        <f>E11*INPUTS!$C$26</f>
        <v/>
      </c>
      <c r="F15" s="15">
        <f>F11*INPUTS!$C$26</f>
        <v/>
      </c>
    </row>
    <row r="16">
      <c r="A16" s="1" t="inlineStr">
        <is>
          <t>Mezzanine</t>
        </is>
      </c>
    </row>
    <row r="17">
      <c r="A17" s="5" t="inlineStr">
        <is>
          <t xml:space="preserve">    Opening balance</t>
        </is>
      </c>
      <c r="B17" s="15">
        <f>SOURCES_USES!$B$11</f>
        <v/>
      </c>
      <c r="C17" s="15">
        <f>B20</f>
        <v/>
      </c>
      <c r="D17" s="15">
        <f>C20</f>
        <v/>
      </c>
      <c r="E17" s="15">
        <f>D20</f>
        <v/>
      </c>
      <c r="F17" s="15">
        <f>E20</f>
        <v/>
      </c>
    </row>
    <row r="18">
      <c r="A18" s="5" t="inlineStr">
        <is>
          <t xml:space="preserve">    Mandatory amortisation</t>
        </is>
      </c>
      <c r="B18" s="15">
        <f>MIN(INPUTS!$D$27*SOURCES_USES!$B$11,B17)</f>
        <v/>
      </c>
      <c r="C18" s="15">
        <f>MIN(INPUTS!$D$27*SOURCES_USES!$B$11,C17)</f>
        <v/>
      </c>
      <c r="D18" s="15">
        <f>MIN(INPUTS!$D$27*SOURCES_USES!$B$11,D17)</f>
        <v/>
      </c>
      <c r="E18" s="15">
        <f>MIN(INPUTS!$D$27*SOURCES_USES!$B$11,E17)</f>
        <v/>
      </c>
      <c r="F18" s="15">
        <f>MIN(INPUTS!$D$27*SOURCES_USES!$B$11,F17)</f>
        <v/>
      </c>
    </row>
    <row r="19">
      <c r="A19" s="5" t="inlineStr">
        <is>
          <t xml:space="preserve">    Cash sweep</t>
        </is>
      </c>
      <c r="B19" s="15">
        <f>INPUTS!$E$27*MIN(B17-B18,MAX(0,B31-B7-B13))</f>
        <v/>
      </c>
      <c r="C19" s="15">
        <f>INPUTS!$E$27*MIN(C17-C18,MAX(0,C31-C7-C13))</f>
        <v/>
      </c>
      <c r="D19" s="15">
        <f>INPUTS!$E$27*MIN(D17-D18,MAX(0,D31-D7-D13))</f>
        <v/>
      </c>
      <c r="E19" s="15">
        <f>INPUTS!$E$27*MIN(E17-E18,MAX(0,E31-E7-E13))</f>
        <v/>
      </c>
      <c r="F19" s="15">
        <f>INPUTS!$E$27*MIN(F17-F18,MAX(0,F31-F7-F13))</f>
        <v/>
      </c>
    </row>
    <row r="20">
      <c r="A20" s="5" t="inlineStr">
        <is>
          <t xml:space="preserve">    Closing balance</t>
        </is>
      </c>
      <c r="B20" s="15">
        <f>B17-B18-B19</f>
        <v/>
      </c>
      <c r="C20" s="15">
        <f>C17-C18-C19</f>
        <v/>
      </c>
      <c r="D20" s="15">
        <f>D17-D18-D19</f>
        <v/>
      </c>
      <c r="E20" s="15">
        <f>E17-E18-E19</f>
        <v/>
      </c>
      <c r="F20" s="15">
        <f>F17-F18-F19</f>
        <v/>
      </c>
    </row>
    <row r="21">
      <c r="A21" s="5" t="inlineStr">
        <is>
          <t xml:space="preserve">    Interest expense</t>
        </is>
      </c>
      <c r="B21" s="15">
        <f>B17*INPUTS!$C$27</f>
        <v/>
      </c>
      <c r="C21" s="15">
        <f>C17*INPUTS!$C$27</f>
        <v/>
      </c>
      <c r="D21" s="15">
        <f>D17*INPUTS!$C$27</f>
        <v/>
      </c>
      <c r="E21" s="15">
        <f>E17*INPUTS!$C$27</f>
        <v/>
      </c>
      <c r="F21" s="15">
        <f>F17*INPUTS!$C$27</f>
        <v/>
      </c>
    </row>
    <row r="23">
      <c r="A23" s="5" t="inlineStr">
        <is>
          <t>Total opening debt</t>
        </is>
      </c>
      <c r="B23" s="15">
        <f>B5+B11+B17</f>
        <v/>
      </c>
      <c r="C23" s="15">
        <f>C5+C11+C17</f>
        <v/>
      </c>
      <c r="D23" s="15">
        <f>D5+D11+D17</f>
        <v/>
      </c>
      <c r="E23" s="15">
        <f>E5+E11+E17</f>
        <v/>
      </c>
      <c r="F23" s="15">
        <f>F5+F11+F17</f>
        <v/>
      </c>
    </row>
    <row r="24">
      <c r="A24" s="5" t="inlineStr">
        <is>
          <t>Total mandatory amortisation</t>
        </is>
      </c>
      <c r="B24" s="15">
        <f>B6+B12+B18</f>
        <v/>
      </c>
      <c r="C24" s="15">
        <f>C6+C12+C18</f>
        <v/>
      </c>
      <c r="D24" s="15">
        <f>D6+D12+D18</f>
        <v/>
      </c>
      <c r="E24" s="15">
        <f>E6+E12+E18</f>
        <v/>
      </c>
      <c r="F24" s="15">
        <f>F6+F12+F18</f>
        <v/>
      </c>
    </row>
    <row r="25">
      <c r="A25" s="5" t="inlineStr">
        <is>
          <t>Total cash sweep</t>
        </is>
      </c>
      <c r="B25" s="15">
        <f>B7+B13+B19</f>
        <v/>
      </c>
      <c r="C25" s="15">
        <f>C7+C13+C19</f>
        <v/>
      </c>
      <c r="D25" s="15">
        <f>D7+D13+D19</f>
        <v/>
      </c>
      <c r="E25" s="15">
        <f>E7+E13+E19</f>
        <v/>
      </c>
      <c r="F25" s="15">
        <f>F7+F13+F19</f>
        <v/>
      </c>
    </row>
    <row r="26">
      <c r="A26" s="5" t="inlineStr">
        <is>
          <t>Total closing debt</t>
        </is>
      </c>
      <c r="B26" s="18">
        <f>B8+B14+B20</f>
        <v/>
      </c>
      <c r="C26" s="18">
        <f>C8+C14+C20</f>
        <v/>
      </c>
      <c r="D26" s="18">
        <f>D8+D14+D20</f>
        <v/>
      </c>
      <c r="E26" s="18">
        <f>E8+E14+E20</f>
        <v/>
      </c>
      <c r="F26" s="18">
        <f>F8+F14+F20</f>
        <v/>
      </c>
    </row>
    <row r="27">
      <c r="A27" s="5" t="inlineStr">
        <is>
          <t>Total interest expense</t>
        </is>
      </c>
      <c r="B27" s="15">
        <f>B9+B15+B21</f>
        <v/>
      </c>
      <c r="C27" s="15">
        <f>C9+C15+C21</f>
        <v/>
      </c>
      <c r="D27" s="15">
        <f>D9+D15+D21</f>
        <v/>
      </c>
      <c r="E27" s="15">
        <f>E9+E15+E21</f>
        <v/>
      </c>
      <c r="F27" s="15">
        <f>F9+F15+F21</f>
        <v/>
      </c>
    </row>
    <row r="28">
      <c r="A28" s="5" t="inlineStr">
        <is>
          <t>Opening cash</t>
        </is>
      </c>
      <c r="B28" s="15">
        <f>INPUTS!$B$12</f>
        <v/>
      </c>
      <c r="C28" s="15">
        <f>B32</f>
        <v/>
      </c>
      <c r="D28" s="15">
        <f>C32</f>
        <v/>
      </c>
      <c r="E28" s="15">
        <f>D32</f>
        <v/>
      </c>
      <c r="F28" s="15">
        <f>E32</f>
        <v/>
      </c>
    </row>
    <row r="29">
      <c r="A29" s="5" t="inlineStr">
        <is>
          <t>Free cash flow before debt service</t>
        </is>
      </c>
      <c r="B29" s="15">
        <f>PROJECTION!B16</f>
        <v/>
      </c>
      <c r="C29" s="15">
        <f>PROJECTION!C16</f>
        <v/>
      </c>
      <c r="D29" s="15">
        <f>PROJECTION!D16</f>
        <v/>
      </c>
      <c r="E29" s="15">
        <f>PROJECTION!E16</f>
        <v/>
      </c>
      <c r="F29" s="15">
        <f>PROJECTION!F16</f>
        <v/>
      </c>
    </row>
    <row r="30">
      <c r="A30" s="5" t="inlineStr">
        <is>
          <t>Cash before sweep</t>
        </is>
      </c>
      <c r="B30" s="15">
        <f>B28+B29-B24</f>
        <v/>
      </c>
      <c r="C30" s="15">
        <f>C28+C29-C24</f>
        <v/>
      </c>
      <c r="D30" s="15">
        <f>D28+D29-D24</f>
        <v/>
      </c>
      <c r="E30" s="15">
        <f>E28+E29-E24</f>
        <v/>
      </c>
      <c r="F30" s="15">
        <f>F28+F29-F24</f>
        <v/>
      </c>
    </row>
    <row r="31">
      <c r="A31" s="5" t="inlineStr">
        <is>
          <t>Cash available for sweep</t>
        </is>
      </c>
      <c r="B31" s="15">
        <f>MAX(0,B30-INPUTS!$B$11)*INPUTS!$B$10</f>
        <v/>
      </c>
      <c r="C31" s="15">
        <f>MAX(0,C30-INPUTS!$B$11)*INPUTS!$B$10</f>
        <v/>
      </c>
      <c r="D31" s="15">
        <f>MAX(0,D30-INPUTS!$B$11)*INPUTS!$B$10</f>
        <v/>
      </c>
      <c r="E31" s="15">
        <f>MAX(0,E30-INPUTS!$B$11)*INPUTS!$B$10</f>
        <v/>
      </c>
      <c r="F31" s="15">
        <f>MAX(0,F30-INPUTS!$B$11)*INPUTS!$B$10</f>
        <v/>
      </c>
    </row>
    <row r="32">
      <c r="A32" s="5" t="inlineStr">
        <is>
          <t>Closing cash</t>
        </is>
      </c>
      <c r="B32" s="15">
        <f>B30-B25</f>
        <v/>
      </c>
      <c r="C32" s="15">
        <f>C30-C25</f>
        <v/>
      </c>
      <c r="D32" s="15">
        <f>D30-D25</f>
        <v/>
      </c>
      <c r="E32" s="15">
        <f>E30-E25</f>
        <v/>
      </c>
      <c r="F32" s="15">
        <f>F30-F25</f>
        <v/>
      </c>
    </row>
    <row r="33">
      <c r="A33" s="5" t="inlineStr">
        <is>
          <t>Net debt</t>
        </is>
      </c>
      <c r="B33" s="15">
        <f>B26-B32</f>
        <v/>
      </c>
      <c r="C33" s="15">
        <f>C26-C32</f>
        <v/>
      </c>
      <c r="D33" s="15">
        <f>D26-D32</f>
        <v/>
      </c>
      <c r="E33" s="15">
        <f>E26-E32</f>
        <v/>
      </c>
      <c r="F33" s="15">
        <f>F26-F32</f>
        <v/>
      </c>
    </row>
    <row r="34">
      <c r="A34" s="5" t="inlineStr">
        <is>
          <t>Net debt / EBITDA</t>
        </is>
      </c>
      <c r="B34" s="19">
        <f>B33/PROJECTION!B5</f>
        <v/>
      </c>
      <c r="C34" s="19">
        <f>C33/PROJECTION!C5</f>
        <v/>
      </c>
      <c r="D34" s="19">
        <f>D33/PROJECTION!D5</f>
        <v/>
      </c>
      <c r="E34" s="19">
        <f>E33/PROJECTION!E5</f>
        <v/>
      </c>
      <c r="F34" s="19">
        <f>F33/PROJECTION!F5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8" customWidth="1" min="3" max="3"/>
  </cols>
  <sheetData>
    <row r="1">
      <c r="A1" s="1" t="inlineStr">
        <is>
          <t>RETURNS — exit and attribution</t>
        </is>
      </c>
    </row>
    <row r="2">
      <c r="A2" s="3" t="inlineStr">
        <is>
          <t>Attribution is an identity, not an estimate: the three components sum exactly to the change in equity value.</t>
        </is>
      </c>
    </row>
    <row r="3">
      <c r="A3" s="4" t="inlineStr">
        <is>
          <t>Item</t>
        </is>
      </c>
      <c r="B3" s="4" t="inlineStr">
        <is>
          <t>Value</t>
        </is>
      </c>
    </row>
    <row r="4">
      <c r="A4" s="5" t="inlineStr">
        <is>
          <t>Exit-year EBITDA</t>
        </is>
      </c>
      <c r="B4" s="15">
        <f>PROJECTION!F5</f>
        <v/>
      </c>
    </row>
    <row r="5">
      <c r="A5" s="5" t="inlineStr">
        <is>
          <t>Exit multiple</t>
        </is>
      </c>
      <c r="B5" s="16">
        <f>INPUTS!$B$5</f>
        <v/>
      </c>
    </row>
    <row r="6">
      <c r="A6" s="5" t="inlineStr">
        <is>
          <t>Exit enterprise value</t>
        </is>
      </c>
      <c r="B6" s="15">
        <f>B4*B5</f>
        <v/>
      </c>
    </row>
    <row r="7">
      <c r="A7" s="5" t="inlineStr">
        <is>
          <t>Less: net debt at exit</t>
        </is>
      </c>
      <c r="B7" s="15">
        <f>DEBT!F33</f>
        <v/>
      </c>
    </row>
    <row r="8">
      <c r="A8" s="5" t="inlineStr">
        <is>
          <t>Exit equity value</t>
        </is>
      </c>
      <c r="B8" s="18">
        <f>B6-B7</f>
        <v/>
      </c>
    </row>
    <row r="9">
      <c r="A9" s="5" t="inlineStr">
        <is>
          <t>Sponsor equity at entry</t>
        </is>
      </c>
      <c r="B9" s="15">
        <f>SOURCES_USES!B14</f>
        <v/>
      </c>
    </row>
    <row r="10">
      <c r="A10" s="5" t="inlineStr">
        <is>
          <t>Money multiple</t>
        </is>
      </c>
      <c r="B10" s="20">
        <f>B8/B9</f>
        <v/>
      </c>
    </row>
    <row r="11">
      <c r="A11" s="5" t="inlineStr">
        <is>
          <t>Holding period (years)</t>
        </is>
      </c>
      <c r="B11" s="21">
        <f>COLUMNS(PROJECTION!B5:F5)</f>
        <v/>
      </c>
    </row>
    <row r="12">
      <c r="A12" s="5" t="inlineStr">
        <is>
          <t>IRR</t>
        </is>
      </c>
      <c r="B12" s="22">
        <f>IF(OR(B9&lt;=0,B8&lt;=0),NA(),B10^(1/B11)-1)</f>
        <v/>
      </c>
    </row>
    <row r="14">
      <c r="A14" s="1" t="inlineStr">
        <is>
          <t>Where the value came from</t>
        </is>
      </c>
    </row>
    <row r="15">
      <c r="A15" s="5" t="inlineStr">
        <is>
          <t>EBITDA growth</t>
        </is>
      </c>
      <c r="B15" s="15">
        <f>(B4-SOURCES_USES!B4)*INPUTS!$B$4</f>
        <v/>
      </c>
      <c r="C15" s="7" t="inlineStr">
        <is>
          <t>Growth in earnings, valued at the entry multiple</t>
        </is>
      </c>
    </row>
    <row r="16">
      <c r="A16" s="5" t="inlineStr">
        <is>
          <t>Multiple change</t>
        </is>
      </c>
      <c r="B16" s="15">
        <f>(INPUTS!$B$5-INPUTS!$B$4)*B4</f>
        <v/>
      </c>
      <c r="C16" s="7" t="inlineStr">
        <is>
          <t>Re-rating, applied to exit earnings. The component you do not control</t>
        </is>
      </c>
    </row>
    <row r="17">
      <c r="A17" s="5" t="inlineStr">
        <is>
          <t>Debt paydown and cash generation</t>
        </is>
      </c>
      <c r="B17" s="15">
        <f>SOURCES_USES!B25-B7</f>
        <v/>
      </c>
      <c r="C17" s="7" t="inlineStr">
        <is>
          <t>Net debt reduction over the hold</t>
        </is>
      </c>
    </row>
    <row r="18">
      <c r="A18" s="5" t="inlineStr">
        <is>
          <t>Total value created</t>
        </is>
      </c>
      <c r="B18" s="18">
        <f>B15+B16+B17</f>
        <v/>
      </c>
    </row>
    <row r="19">
      <c r="A19" s="5" t="inlineStr">
        <is>
          <t>Check: total − (exit equity − entry equity)</t>
        </is>
      </c>
      <c r="B19" s="15">
        <f>B18-(B8-SOURCES_USES!B26)</f>
        <v/>
      </c>
      <c r="C19" s="7" t="inlineStr">
        <is>
          <t>Must be zero — the attribution is an identity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SENSITIVITY — IRR: entry multiple vs exit multiple</t>
        </is>
      </c>
    </row>
    <row r="2">
      <c r="A2" s="3" t="inlineStr">
        <is>
          <t>Both axes are driven off INPUTS by the step cells (B14/B15). Buying cheaply and selling dearly is the whole grid.</t>
        </is>
      </c>
    </row>
    <row r="3">
      <c r="B3" s="2" t="inlineStr">
        <is>
          <t>Entry ↓ / Exit →</t>
        </is>
      </c>
    </row>
    <row r="4">
      <c r="C4" s="23">
        <f>INPUTS!$B$5+(COLUMN(C4)-5)*INPUTS!$B$15</f>
        <v/>
      </c>
      <c r="D4" s="23">
        <f>INPUTS!$B$5+(COLUMN(D4)-5)*INPUTS!$B$15</f>
        <v/>
      </c>
      <c r="E4" s="23">
        <f>INPUTS!$B$5+(COLUMN(E4)-5)*INPUTS!$B$15</f>
        <v/>
      </c>
      <c r="F4" s="23">
        <f>INPUTS!$B$5+(COLUMN(F4)-5)*INPUTS!$B$15</f>
        <v/>
      </c>
      <c r="G4" s="23">
        <f>INPUTS!$B$5+(COLUMN(G4)-5)*INPUTS!$B$15</f>
        <v/>
      </c>
    </row>
    <row r="5">
      <c r="B5" s="23">
        <f>INPUTS!$B$4+(ROW(B5)-7)*INPUTS!$B$14</f>
        <v/>
      </c>
      <c r="C5" s="13">
        <f>IF(OR(($B5*SOURCES_USES!$B$4*(1+INPUTS!$B$6)+SOURCES_USES!$B$20+INPUTS!$B$12-SOURCES_USES!$B$12-INPUTS!$B$8)&lt;=0,(C$4*RETURNS!$B$4-RETURNS!$B$7)&lt;=0),NA(),((C$4*RETURNS!$B$4-RETURNS!$B$7)/($B5*SOURCES_USES!$B$4*(1+INPUTS!$B$6)+SOURCES_USES!$B$20+INPUTS!$B$12-SOURCES_USES!$B$12-INPUTS!$B$8))^(1/RETURNS!$B$11)-1)</f>
        <v/>
      </c>
      <c r="D5" s="13">
        <f>IF(OR(($B5*SOURCES_USES!$B$4*(1+INPUTS!$B$6)+SOURCES_USES!$B$20+INPUTS!$B$12-SOURCES_USES!$B$12-INPUTS!$B$8)&lt;=0,(D$4*RETURNS!$B$4-RETURNS!$B$7)&lt;=0),NA(),((D$4*RETURNS!$B$4-RETURNS!$B$7)/($B5*SOURCES_USES!$B$4*(1+INPUTS!$B$6)+SOURCES_USES!$B$20+INPUTS!$B$12-SOURCES_USES!$B$12-INPUTS!$B$8))^(1/RETURNS!$B$11)-1)</f>
        <v/>
      </c>
      <c r="E5" s="13">
        <f>IF(OR(($B5*SOURCES_USES!$B$4*(1+INPUTS!$B$6)+SOURCES_USES!$B$20+INPUTS!$B$12-SOURCES_USES!$B$12-INPUTS!$B$8)&lt;=0,(E$4*RETURNS!$B$4-RETURNS!$B$7)&lt;=0),NA(),((E$4*RETURNS!$B$4-RETURNS!$B$7)/($B5*SOURCES_USES!$B$4*(1+INPUTS!$B$6)+SOURCES_USES!$B$20+INPUTS!$B$12-SOURCES_USES!$B$12-INPUTS!$B$8))^(1/RETURNS!$B$11)-1)</f>
        <v/>
      </c>
      <c r="F5" s="13">
        <f>IF(OR(($B5*SOURCES_USES!$B$4*(1+INPUTS!$B$6)+SOURCES_USES!$B$20+INPUTS!$B$12-SOURCES_USES!$B$12-INPUTS!$B$8)&lt;=0,(F$4*RETURNS!$B$4-RETURNS!$B$7)&lt;=0),NA(),((F$4*RETURNS!$B$4-RETURNS!$B$7)/($B5*SOURCES_USES!$B$4*(1+INPUTS!$B$6)+SOURCES_USES!$B$20+INPUTS!$B$12-SOURCES_USES!$B$12-INPUTS!$B$8))^(1/RETURNS!$B$11)-1)</f>
        <v/>
      </c>
      <c r="G5" s="13">
        <f>IF(OR(($B5*SOURCES_USES!$B$4*(1+INPUTS!$B$6)+SOURCES_USES!$B$20+INPUTS!$B$12-SOURCES_USES!$B$12-INPUTS!$B$8)&lt;=0,(G$4*RETURNS!$B$4-RETURNS!$B$7)&lt;=0),NA(),((G$4*RETURNS!$B$4-RETURNS!$B$7)/($B5*SOURCES_USES!$B$4*(1+INPUTS!$B$6)+SOURCES_USES!$B$20+INPUTS!$B$12-SOURCES_USES!$B$12-INPUTS!$B$8))^(1/RETURNS!$B$11)-1)</f>
        <v/>
      </c>
    </row>
    <row r="6">
      <c r="B6" s="23">
        <f>INPUTS!$B$4+(ROW(B6)-7)*INPUTS!$B$14</f>
        <v/>
      </c>
      <c r="C6" s="13">
        <f>IF(OR(($B6*SOURCES_USES!$B$4*(1+INPUTS!$B$6)+SOURCES_USES!$B$20+INPUTS!$B$12-SOURCES_USES!$B$12-INPUTS!$B$8)&lt;=0,(C$4*RETURNS!$B$4-RETURNS!$B$7)&lt;=0),NA(),((C$4*RETURNS!$B$4-RETURNS!$B$7)/($B6*SOURCES_USES!$B$4*(1+INPUTS!$B$6)+SOURCES_USES!$B$20+INPUTS!$B$12-SOURCES_USES!$B$12-INPUTS!$B$8))^(1/RETURNS!$B$11)-1)</f>
        <v/>
      </c>
      <c r="D6" s="13">
        <f>IF(OR(($B6*SOURCES_USES!$B$4*(1+INPUTS!$B$6)+SOURCES_USES!$B$20+INPUTS!$B$12-SOURCES_USES!$B$12-INPUTS!$B$8)&lt;=0,(D$4*RETURNS!$B$4-RETURNS!$B$7)&lt;=0),NA(),((D$4*RETURNS!$B$4-RETURNS!$B$7)/($B6*SOURCES_USES!$B$4*(1+INPUTS!$B$6)+SOURCES_USES!$B$20+INPUTS!$B$12-SOURCES_USES!$B$12-INPUTS!$B$8))^(1/RETURNS!$B$11)-1)</f>
        <v/>
      </c>
      <c r="E6" s="13">
        <f>IF(OR(($B6*SOURCES_USES!$B$4*(1+INPUTS!$B$6)+SOURCES_USES!$B$20+INPUTS!$B$12-SOURCES_USES!$B$12-INPUTS!$B$8)&lt;=0,(E$4*RETURNS!$B$4-RETURNS!$B$7)&lt;=0),NA(),((E$4*RETURNS!$B$4-RETURNS!$B$7)/($B6*SOURCES_USES!$B$4*(1+INPUTS!$B$6)+SOURCES_USES!$B$20+INPUTS!$B$12-SOURCES_USES!$B$12-INPUTS!$B$8))^(1/RETURNS!$B$11)-1)</f>
        <v/>
      </c>
      <c r="F6" s="13">
        <f>IF(OR(($B6*SOURCES_USES!$B$4*(1+INPUTS!$B$6)+SOURCES_USES!$B$20+INPUTS!$B$12-SOURCES_USES!$B$12-INPUTS!$B$8)&lt;=0,(F$4*RETURNS!$B$4-RETURNS!$B$7)&lt;=0),NA(),((F$4*RETURNS!$B$4-RETURNS!$B$7)/($B6*SOURCES_USES!$B$4*(1+INPUTS!$B$6)+SOURCES_USES!$B$20+INPUTS!$B$12-SOURCES_USES!$B$12-INPUTS!$B$8))^(1/RETURNS!$B$11)-1)</f>
        <v/>
      </c>
      <c r="G6" s="13">
        <f>IF(OR(($B6*SOURCES_USES!$B$4*(1+INPUTS!$B$6)+SOURCES_USES!$B$20+INPUTS!$B$12-SOURCES_USES!$B$12-INPUTS!$B$8)&lt;=0,(G$4*RETURNS!$B$4-RETURNS!$B$7)&lt;=0),NA(),((G$4*RETURNS!$B$4-RETURNS!$B$7)/($B6*SOURCES_USES!$B$4*(1+INPUTS!$B$6)+SOURCES_USES!$B$20+INPUTS!$B$12-SOURCES_USES!$B$12-INPUTS!$B$8))^(1/RETURNS!$B$11)-1)</f>
        <v/>
      </c>
    </row>
    <row r="7">
      <c r="B7" s="23">
        <f>INPUTS!$B$4+(ROW(B7)-7)*INPUTS!$B$14</f>
        <v/>
      </c>
      <c r="C7" s="13">
        <f>IF(OR(($B7*SOURCES_USES!$B$4*(1+INPUTS!$B$6)+SOURCES_USES!$B$20+INPUTS!$B$12-SOURCES_USES!$B$12-INPUTS!$B$8)&lt;=0,(C$4*RETURNS!$B$4-RETURNS!$B$7)&lt;=0),NA(),((C$4*RETURNS!$B$4-RETURNS!$B$7)/($B7*SOURCES_USES!$B$4*(1+INPUTS!$B$6)+SOURCES_USES!$B$20+INPUTS!$B$12-SOURCES_USES!$B$12-INPUTS!$B$8))^(1/RETURNS!$B$11)-1)</f>
        <v/>
      </c>
      <c r="D7" s="13">
        <f>IF(OR(($B7*SOURCES_USES!$B$4*(1+INPUTS!$B$6)+SOURCES_USES!$B$20+INPUTS!$B$12-SOURCES_USES!$B$12-INPUTS!$B$8)&lt;=0,(D$4*RETURNS!$B$4-RETURNS!$B$7)&lt;=0),NA(),((D$4*RETURNS!$B$4-RETURNS!$B$7)/($B7*SOURCES_USES!$B$4*(1+INPUTS!$B$6)+SOURCES_USES!$B$20+INPUTS!$B$12-SOURCES_USES!$B$12-INPUTS!$B$8))^(1/RETURNS!$B$11)-1)</f>
        <v/>
      </c>
      <c r="E7" s="22">
        <f>IF(OR(($B7*SOURCES_USES!$B$4*(1+INPUTS!$B$6)+SOURCES_USES!$B$20+INPUTS!$B$12-SOURCES_USES!$B$12-INPUTS!$B$8)&lt;=0,(E$4*RETURNS!$B$4-RETURNS!$B$7)&lt;=0),NA(),((E$4*RETURNS!$B$4-RETURNS!$B$7)/($B7*SOURCES_USES!$B$4*(1+INPUTS!$B$6)+SOURCES_USES!$B$20+INPUTS!$B$12-SOURCES_USES!$B$12-INPUTS!$B$8))^(1/RETURNS!$B$11)-1)</f>
        <v/>
      </c>
      <c r="F7" s="13">
        <f>IF(OR(($B7*SOURCES_USES!$B$4*(1+INPUTS!$B$6)+SOURCES_USES!$B$20+INPUTS!$B$12-SOURCES_USES!$B$12-INPUTS!$B$8)&lt;=0,(F$4*RETURNS!$B$4-RETURNS!$B$7)&lt;=0),NA(),((F$4*RETURNS!$B$4-RETURNS!$B$7)/($B7*SOURCES_USES!$B$4*(1+INPUTS!$B$6)+SOURCES_USES!$B$20+INPUTS!$B$12-SOURCES_USES!$B$12-INPUTS!$B$8))^(1/RETURNS!$B$11)-1)</f>
        <v/>
      </c>
      <c r="G7" s="13">
        <f>IF(OR(($B7*SOURCES_USES!$B$4*(1+INPUTS!$B$6)+SOURCES_USES!$B$20+INPUTS!$B$12-SOURCES_USES!$B$12-INPUTS!$B$8)&lt;=0,(G$4*RETURNS!$B$4-RETURNS!$B$7)&lt;=0),NA(),((G$4*RETURNS!$B$4-RETURNS!$B$7)/($B7*SOURCES_USES!$B$4*(1+INPUTS!$B$6)+SOURCES_USES!$B$20+INPUTS!$B$12-SOURCES_USES!$B$12-INPUTS!$B$8))^(1/RETURNS!$B$11)-1)</f>
        <v/>
      </c>
    </row>
    <row r="8">
      <c r="B8" s="23">
        <f>INPUTS!$B$4+(ROW(B8)-7)*INPUTS!$B$14</f>
        <v/>
      </c>
      <c r="C8" s="13">
        <f>IF(OR(($B8*SOURCES_USES!$B$4*(1+INPUTS!$B$6)+SOURCES_USES!$B$20+INPUTS!$B$12-SOURCES_USES!$B$12-INPUTS!$B$8)&lt;=0,(C$4*RETURNS!$B$4-RETURNS!$B$7)&lt;=0),NA(),((C$4*RETURNS!$B$4-RETURNS!$B$7)/($B8*SOURCES_USES!$B$4*(1+INPUTS!$B$6)+SOURCES_USES!$B$20+INPUTS!$B$12-SOURCES_USES!$B$12-INPUTS!$B$8))^(1/RETURNS!$B$11)-1)</f>
        <v/>
      </c>
      <c r="D8" s="13">
        <f>IF(OR(($B8*SOURCES_USES!$B$4*(1+INPUTS!$B$6)+SOURCES_USES!$B$20+INPUTS!$B$12-SOURCES_USES!$B$12-INPUTS!$B$8)&lt;=0,(D$4*RETURNS!$B$4-RETURNS!$B$7)&lt;=0),NA(),((D$4*RETURNS!$B$4-RETURNS!$B$7)/($B8*SOURCES_USES!$B$4*(1+INPUTS!$B$6)+SOURCES_USES!$B$20+INPUTS!$B$12-SOURCES_USES!$B$12-INPUTS!$B$8))^(1/RETURNS!$B$11)-1)</f>
        <v/>
      </c>
      <c r="E8" s="13">
        <f>IF(OR(($B8*SOURCES_USES!$B$4*(1+INPUTS!$B$6)+SOURCES_USES!$B$20+INPUTS!$B$12-SOURCES_USES!$B$12-INPUTS!$B$8)&lt;=0,(E$4*RETURNS!$B$4-RETURNS!$B$7)&lt;=0),NA(),((E$4*RETURNS!$B$4-RETURNS!$B$7)/($B8*SOURCES_USES!$B$4*(1+INPUTS!$B$6)+SOURCES_USES!$B$20+INPUTS!$B$12-SOURCES_USES!$B$12-INPUTS!$B$8))^(1/RETURNS!$B$11)-1)</f>
        <v/>
      </c>
      <c r="F8" s="13">
        <f>IF(OR(($B8*SOURCES_USES!$B$4*(1+INPUTS!$B$6)+SOURCES_USES!$B$20+INPUTS!$B$12-SOURCES_USES!$B$12-INPUTS!$B$8)&lt;=0,(F$4*RETURNS!$B$4-RETURNS!$B$7)&lt;=0),NA(),((F$4*RETURNS!$B$4-RETURNS!$B$7)/($B8*SOURCES_USES!$B$4*(1+INPUTS!$B$6)+SOURCES_USES!$B$20+INPUTS!$B$12-SOURCES_USES!$B$12-INPUTS!$B$8))^(1/RETURNS!$B$11)-1)</f>
        <v/>
      </c>
      <c r="G8" s="13">
        <f>IF(OR(($B8*SOURCES_USES!$B$4*(1+INPUTS!$B$6)+SOURCES_USES!$B$20+INPUTS!$B$12-SOURCES_USES!$B$12-INPUTS!$B$8)&lt;=0,(G$4*RETURNS!$B$4-RETURNS!$B$7)&lt;=0),NA(),((G$4*RETURNS!$B$4-RETURNS!$B$7)/($B8*SOURCES_USES!$B$4*(1+INPUTS!$B$6)+SOURCES_USES!$B$20+INPUTS!$B$12-SOURCES_USES!$B$12-INPUTS!$B$8))^(1/RETURNS!$B$11)-1)</f>
        <v/>
      </c>
    </row>
    <row r="9">
      <c r="B9" s="23">
        <f>INPUTS!$B$4+(ROW(B9)-7)*INPUTS!$B$14</f>
        <v/>
      </c>
      <c r="C9" s="13">
        <f>IF(OR(($B9*SOURCES_USES!$B$4*(1+INPUTS!$B$6)+SOURCES_USES!$B$20+INPUTS!$B$12-SOURCES_USES!$B$12-INPUTS!$B$8)&lt;=0,(C$4*RETURNS!$B$4-RETURNS!$B$7)&lt;=0),NA(),((C$4*RETURNS!$B$4-RETURNS!$B$7)/($B9*SOURCES_USES!$B$4*(1+INPUTS!$B$6)+SOURCES_USES!$B$20+INPUTS!$B$12-SOURCES_USES!$B$12-INPUTS!$B$8))^(1/RETURNS!$B$11)-1)</f>
        <v/>
      </c>
      <c r="D9" s="13">
        <f>IF(OR(($B9*SOURCES_USES!$B$4*(1+INPUTS!$B$6)+SOURCES_USES!$B$20+INPUTS!$B$12-SOURCES_USES!$B$12-INPUTS!$B$8)&lt;=0,(D$4*RETURNS!$B$4-RETURNS!$B$7)&lt;=0),NA(),((D$4*RETURNS!$B$4-RETURNS!$B$7)/($B9*SOURCES_USES!$B$4*(1+INPUTS!$B$6)+SOURCES_USES!$B$20+INPUTS!$B$12-SOURCES_USES!$B$12-INPUTS!$B$8))^(1/RETURNS!$B$11)-1)</f>
        <v/>
      </c>
      <c r="E9" s="13">
        <f>IF(OR(($B9*SOURCES_USES!$B$4*(1+INPUTS!$B$6)+SOURCES_USES!$B$20+INPUTS!$B$12-SOURCES_USES!$B$12-INPUTS!$B$8)&lt;=0,(E$4*RETURNS!$B$4-RETURNS!$B$7)&lt;=0),NA(),((E$4*RETURNS!$B$4-RETURNS!$B$7)/($B9*SOURCES_USES!$B$4*(1+INPUTS!$B$6)+SOURCES_USES!$B$20+INPUTS!$B$12-SOURCES_USES!$B$12-INPUTS!$B$8))^(1/RETURNS!$B$11)-1)</f>
        <v/>
      </c>
      <c r="F9" s="13">
        <f>IF(OR(($B9*SOURCES_USES!$B$4*(1+INPUTS!$B$6)+SOURCES_USES!$B$20+INPUTS!$B$12-SOURCES_USES!$B$12-INPUTS!$B$8)&lt;=0,(F$4*RETURNS!$B$4-RETURNS!$B$7)&lt;=0),NA(),((F$4*RETURNS!$B$4-RETURNS!$B$7)/($B9*SOURCES_USES!$B$4*(1+INPUTS!$B$6)+SOURCES_USES!$B$20+INPUTS!$B$12-SOURCES_USES!$B$12-INPUTS!$B$8))^(1/RETURNS!$B$11)-1)</f>
        <v/>
      </c>
      <c r="G9" s="13">
        <f>IF(OR(($B9*SOURCES_USES!$B$4*(1+INPUTS!$B$6)+SOURCES_USES!$B$20+INPUTS!$B$12-SOURCES_USES!$B$12-INPUTS!$B$8)&lt;=0,(G$4*RETURNS!$B$4-RETURNS!$B$7)&lt;=0),NA(),((G$4*RETURNS!$B$4-RETURNS!$B$7)/($B9*SOURCES_USES!$B$4*(1+INPUTS!$B$6)+SOURCES_USES!$B$20+INPUTS!$B$12-SOURCES_USES!$B$12-INPUTS!$B$8))^(1/RETURNS!$B$11)-1)</f>
        <v/>
      </c>
    </row>
    <row r="11">
      <c r="B11" s="3" t="inlineStr">
        <is>
          <t>Shaded centre cell = base case; it must equal the IRR on RETURNS (CHECKS verifies this).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6" customWidth="1" min="3" max="3"/>
  </cols>
  <sheetData>
    <row r="1">
      <c r="A1" s="1" t="inlineStr">
        <is>
          <t>CHECKS — live assertions, recomputed by Excel</t>
        </is>
      </c>
    </row>
    <row r="2">
      <c r="A2" s="3" t="inlineStr">
        <is>
          <t>Every row must read PASS. These recompute identities independently of the cells they test.</t>
        </is>
      </c>
    </row>
    <row r="3">
      <c r="A3" s="4" t="inlineStr">
        <is>
          <t>Check</t>
        </is>
      </c>
      <c r="B3" s="4" t="inlineStr">
        <is>
          <t>Result</t>
        </is>
      </c>
      <c r="C3" s="4" t="inlineStr">
        <is>
          <t>What it proves</t>
        </is>
      </c>
    </row>
    <row r="4">
      <c r="A4" s="5" t="inlineStr">
        <is>
          <t>Sources equal uses</t>
        </is>
      </c>
      <c r="B4" s="24">
        <f>IF(ABS(SOURCES_USES!B24)&lt;0.01,"PASS","FAIL")</f>
        <v/>
      </c>
      <c r="C4" s="7" t="inlineStr">
        <is>
          <t>The entry funds itself — the sponsor cheque is the plug</t>
        </is>
      </c>
    </row>
    <row r="5">
      <c r="A5" s="5" t="inlineStr">
        <is>
          <t>Attribution ties to value created</t>
        </is>
      </c>
      <c r="B5" s="24">
        <f>IF(ABS(RETURNS!B19)&lt;0.01,"PASS","FAIL")</f>
        <v/>
      </c>
      <c r="C5" s="7" t="inlineStr">
        <is>
          <t>EBITDA growth + multiple change + debt paydown = change in equity value, exactly</t>
        </is>
      </c>
    </row>
    <row r="6">
      <c r="A6" s="5" t="inlineStr">
        <is>
          <t>No debt balance goes negative</t>
        </is>
      </c>
      <c r="B6" s="24">
        <f>IF(MIN(DEBT!B26:F26)&gt;=-0.01,"PASS","FAIL")</f>
        <v/>
      </c>
      <c r="C6" s="7" t="inlineStr">
        <is>
          <t>Repayment and sweep never exceed what is outstanding</t>
        </is>
      </c>
    </row>
    <row r="7">
      <c r="A7" s="5" t="inlineStr">
        <is>
          <t>Cash never falls below the minimum</t>
        </is>
      </c>
      <c r="B7" s="24">
        <f>IF(MIN(DEBT!B32:F32)&gt;=INPUTS!$B$11-0.01,"PASS","FAIL")</f>
        <v/>
      </c>
      <c r="C7" s="7" t="inlineStr">
        <is>
          <t>The sweep leaves the minimum balance behind</t>
        </is>
      </c>
    </row>
    <row r="8">
      <c r="A8" s="5" t="inlineStr">
        <is>
          <t>Debt roll-forward holds in year 1</t>
        </is>
      </c>
      <c r="B8" s="24">
        <f>IF(ABS(DEBT!B8-(DEBT!B5-DEBT!B6-DEBT!B7))&lt;0.01,"PASS","FAIL")</f>
        <v/>
      </c>
      <c r="C8" s="7" t="inlineStr">
        <is>
          <t>Closing = opening - amortisation - sweep on the senior tranche</t>
        </is>
      </c>
    </row>
    <row r="9">
      <c r="A9" s="5" t="inlineStr">
        <is>
          <t>Sweep never exceeds cash available</t>
        </is>
      </c>
      <c r="B9" s="24">
        <f>IF(SUMPRODUCT(MAX(DEBT!B25:F25-DEBT!B31:F31))&lt;0.01,"PASS","FAIL")</f>
        <v/>
      </c>
      <c r="C9" s="7" t="inlineStr">
        <is>
          <t>The sweep cannot spend money the business did not generate</t>
        </is>
      </c>
    </row>
    <row r="10">
      <c r="A10" s="5" t="inlineStr">
        <is>
          <t>Interest charged on opening balances</t>
        </is>
      </c>
      <c r="B10" s="24">
        <f>IF(ABS(DEBT!B9-DEBT!B5*INPUTS!$C$25)&lt;0.01,"PASS","FAIL")</f>
        <v/>
      </c>
      <c r="C10" s="7" t="inlineStr">
        <is>
          <t>No circular reference in the interest calculation</t>
        </is>
      </c>
    </row>
    <row r="11">
      <c r="A11" s="5" t="inlineStr">
        <is>
          <t>Money multiple ties to the equity values</t>
        </is>
      </c>
      <c r="B11" s="24">
        <f>IF(ABS(RETURNS!B10-RETURNS!B8/RETURNS!B9)&lt;0.0001,"PASS","FAIL")</f>
        <v/>
      </c>
      <c r="C11" s="7" t="inlineStr">
        <is>
          <t>MoM = exit equity / sponsor equity</t>
        </is>
      </c>
    </row>
    <row r="12">
      <c r="A12" s="5" t="inlineStr">
        <is>
          <t>IRR is consistent with the money multiple</t>
        </is>
      </c>
      <c r="B12" s="24">
        <f>IF(ABS((1+RETURNS!B12)^RETURNS!B11-RETURNS!B10)&lt;0.0001,"PASS","FAIL")</f>
        <v/>
      </c>
      <c r="C12" s="7" t="inlineStr">
        <is>
          <t>(1+IRR)^years = MoM, with no interim distributions</t>
        </is>
      </c>
    </row>
    <row r="13">
      <c r="A13" s="5" t="inlineStr">
        <is>
          <t>Sensitivity centre equals the headline IRR</t>
        </is>
      </c>
      <c r="B13" s="24">
        <f>IF(ABS(SENSITIVITY!E7-RETURNS!B12)&lt;0.0001,"PASS","FAIL")</f>
        <v/>
      </c>
      <c r="C13" s="7" t="inlineStr">
        <is>
          <t>The grid is wired to the same deal</t>
        </is>
      </c>
    </row>
    <row r="14">
      <c r="A14" s="5" t="inlineStr">
        <is>
          <t>Opening leverage at or below 7.0x</t>
        </is>
      </c>
      <c r="B14" s="24">
        <f>IF(SOURCES_USES!B27&lt;=7,"PASS","REVIEW")</f>
        <v/>
      </c>
      <c r="C14" s="7" t="inlineStr">
        <is>
          <t>Above this, the structure is unusual enough to need saying out loud</t>
        </is>
      </c>
    </row>
    <row r="15">
      <c r="A15" s="5" t="inlineStr">
        <is>
          <t>EBITDA margin at or above the historical trough</t>
        </is>
      </c>
      <c r="B15" s="24">
        <f>IF(MIN(INPUTS!B19:F19)&gt;=HISTORICALS!$B$13,"PASS","REVIEW")</f>
        <v/>
      </c>
      <c r="C15" s="7" t="inlineStr">
        <is>
          <t>The case does not assume the company never has a bad year again</t>
        </is>
      </c>
    </row>
    <row r="17">
      <c r="A17" s="1" t="inlineStr">
        <is>
          <t>OVERALL</t>
        </is>
      </c>
      <c r="B17" s="25">
        <f>IF(COUNTIF(B4:B15,"FAIL")=0,"ALL PASS","FAILURES PRESENT")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2026-10-17T15:06:29Z</dcterms:created>
  <dcterms:modified xmlns:dcterms="http://purl.org/dc/terms/" xmlns:xsi="http://www.w3.org/2001/XMLSchema-instance" xsi:type="dcterms:W3CDTF">2026-10-17T15:06:29Z</dcterms:modified>
</cp:coreProperties>
</file>