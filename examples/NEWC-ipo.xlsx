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HISTORICALS" sheetId="3" state="visible" r:id="rId3"/>
    <sheet xmlns:r="http://schemas.openxmlformats.org/officeDocument/2006/relationships" name="VALUATION" sheetId="4" state="visible" r:id="rId4"/>
    <sheet xmlns:r="http://schemas.openxmlformats.org/officeDocument/2006/relationships" name="OFFERING" sheetId="5" state="visible" r:id="rId5"/>
    <sheet xmlns:r="http://schemas.openxmlformats.org/officeDocument/2006/relationships" name="PROCEEDS" sheetId="6" state="visible" r:id="rId6"/>
    <sheet xmlns:r="http://schemas.openxmlformats.org/officeDocument/2006/relationships" name="SENSITIVITY" sheetId="7" state="visible" r:id="rId7"/>
    <sheet xmlns:r="http://schemas.openxmlformats.org/officeDocument/2006/relationships" name="CHECK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"/>
    <numFmt numFmtId="166" formatCode="0.0x"/>
  </numFmts>
  <fonts count="10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1"/>
    </font>
    <font>
      <name val="Calibri"/>
      <i val="1"/>
      <color rgb="00666666"/>
      <sz val="9"/>
    </font>
    <font>
      <name val="Calibri"/>
      <b val="1"/>
      <color rgb="00FFFFFF"/>
      <sz val="11"/>
    </font>
    <font>
      <name val="Calibri"/>
      <i val="1"/>
      <color rgb="00B45F06"/>
      <sz val="11"/>
    </font>
    <font>
      <name val="Calibri"/>
      <color rgb="000000CC"/>
      <sz val="11"/>
    </font>
    <font>
      <name val="Calibri"/>
      <color rgb="00000000"/>
      <sz val="11"/>
    </font>
    <font>
      <b val="1"/>
    </font>
    <font>
      <name val="Calibri"/>
      <b val="1"/>
      <sz val="12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3E0"/>
      </patternFill>
    </fill>
    <fill>
      <patternFill patternType="solid">
        <fgColor rgb="00EEF2F8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C8CDD6"/>
      </left>
      <right style="thin">
        <color rgb="00C8CDD6"/>
      </right>
      <top style="thin">
        <color rgb="00C8CDD6"/>
      </top>
      <bottom style="thin">
        <color rgb="00C8CDD6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0" borderId="1" pivotButton="0" quotePrefix="0" xfId="0"/>
    <xf numFmtId="164" fontId="5" fillId="3" borderId="1" pivotButton="0" quotePrefix="0" xfId="0"/>
    <xf numFmtId="0" fontId="3" fillId="0" borderId="0" applyAlignment="1" pivotButton="0" quotePrefix="0" xfId="0">
      <alignment vertical="top" wrapText="1"/>
    </xf>
    <xf numFmtId="165" fontId="6" fillId="0" borderId="1" pivotButton="0" quotePrefix="0" xfId="0"/>
    <xf numFmtId="164" fontId="6" fillId="0" borderId="1" pivotButton="0" quotePrefix="0" xfId="0"/>
    <xf numFmtId="166" fontId="6" fillId="0" borderId="1" pivotButton="0" quotePrefix="0" xfId="0"/>
    <xf numFmtId="164" fontId="7" fillId="0" borderId="1" pivotButton="0" quotePrefix="0" xfId="0"/>
    <xf numFmtId="164" fontId="7" fillId="4" borderId="1" pivotButton="0" quotePrefix="0" xfId="0"/>
    <xf numFmtId="165" fontId="7" fillId="0" borderId="1" pivotButton="0" quotePrefix="0" xfId="0"/>
    <xf numFmtId="166" fontId="7" fillId="0" borderId="1" pivotButton="0" quotePrefix="0" xfId="0"/>
    <xf numFmtId="165" fontId="7" fillId="4" borderId="1" pivotButton="0" quotePrefix="0" xfId="0"/>
    <xf numFmtId="165" fontId="7" fillId="5" borderId="1" pivotButton="0" quotePrefix="0" xfId="0"/>
    <xf numFmtId="4" fontId="7" fillId="5" borderId="1" pivotButton="0" quotePrefix="0" xfId="0"/>
    <xf numFmtId="4" fontId="7" fillId="0" borderId="1" pivotButton="0" quotePrefix="0" xfId="0"/>
    <xf numFmtId="166" fontId="7" fillId="4" borderId="1" pivotButton="0" quotePrefix="0" xfId="0"/>
    <xf numFmtId="164" fontId="2" fillId="4" borderId="1" pivotButton="0" quotePrefix="0" xfId="0"/>
    <xf numFmtId="166" fontId="2" fillId="4" borderId="1" pivotButton="0" quotePrefix="0" xfId="0"/>
    <xf numFmtId="0" fontId="8" fillId="0" borderId="1" pivotButton="0" quotePrefix="0" xfId="0"/>
    <xf numFmtId="0" fontId="9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112" customWidth="1" min="2" max="2"/>
  </cols>
  <sheetData>
    <row r="1">
      <c r="A1" s="1" t="inlineStr">
        <is>
          <t>Newco Holdings Ltd (NEWC) — IPO pricing model</t>
        </is>
      </c>
    </row>
    <row r="3">
      <c r="A3" s="2" t="inlineStr">
        <is>
          <t>Built</t>
        </is>
      </c>
      <c r="B3" t="inlineStr">
        <is>
          <t>2026-10-17</t>
        </is>
      </c>
    </row>
    <row r="4">
      <c r="A4" s="2" t="inlineStr">
        <is>
          <t>Currency</t>
        </is>
      </c>
      <c r="B4" t="inlineStr">
        <is>
          <t>USD</t>
        </is>
      </c>
    </row>
    <row r="5">
      <c r="A5" s="2" t="inlineStr">
        <is>
          <t>Units</t>
        </is>
      </c>
      <c r="B5" t="inlineStr">
        <is>
          <t>millions</t>
        </is>
      </c>
    </row>
    <row r="6">
      <c r="A6" s="2" t="inlineStr">
        <is>
          <t>Fiscal year end</t>
        </is>
      </c>
      <c r="B6" t="inlineStr">
        <is>
          <t>31 December</t>
        </is>
      </c>
    </row>
    <row r="7">
      <c r="A7" s="2" t="inlineStr">
        <is>
          <t>Generated by</t>
        </is>
      </c>
      <c r="B7" t="inlineStr">
        <is>
          <t>Financopedia build_model.py</t>
        </is>
      </c>
    </row>
    <row r="8">
      <c r="A8" s="2" t="inlineStr"/>
      <c r="B8" t="inlineStr"/>
    </row>
    <row r="9">
      <c r="A9" s="2" t="inlineStr">
        <is>
          <t>Colour key</t>
        </is>
      </c>
      <c r="B9" t="inlineStr">
        <is>
          <t>Blue = input you can change · Black = formula · Amber italic = estimated input</t>
        </is>
      </c>
    </row>
    <row r="10">
      <c r="A10" s="2" t="inlineStr">
        <is>
          <t>Structure</t>
        </is>
      </c>
      <c r="B10" t="inlineStr">
        <is>
          <t>Every figure outside INPUTS and HISTORICALS is a formula. Change an input, the model moves.</t>
        </is>
      </c>
    </row>
    <row r="11">
      <c r="A11" s="2" t="inlineStr">
        <is>
          <t>CHECKS tab</t>
        </is>
      </c>
      <c r="B11" t="inlineStr">
        <is>
          <t>Live assertions recomputing the model's identities. All must read PASS.</t>
        </is>
      </c>
    </row>
    <row r="12">
      <c r="A12" s="2" t="inlineStr">
        <is>
          <t>History</t>
        </is>
      </c>
      <c r="B12" t="inlineStr">
        <is>
          <t>10 reported years</t>
        </is>
      </c>
    </row>
    <row r="13">
      <c r="A13" s="2" t="inlineStr">
        <is>
          <t>Pricing</t>
        </is>
      </c>
      <c r="B13" t="inlineStr">
        <is>
          <t>A weighted blend of three peer methods on NTM figures, then an IPO discount</t>
        </is>
      </c>
    </row>
    <row r="14">
      <c r="A14" s="2" t="inlineStr">
        <is>
          <t>Primary vs secondary</t>
        </is>
      </c>
      <c r="B14" t="inlineStr">
        <is>
          <t>Primary shares raise money for the company; secondary shares transfer ownership and raise nothing for it</t>
        </is>
      </c>
    </row>
    <row r="15">
      <c r="A15" s="2" t="inlineStr">
        <is>
          <t>Greenshoe</t>
        </is>
      </c>
      <c r="B15" t="inlineStr">
        <is>
          <t>Shown at full exercise; it is an option, not a certainty</t>
        </is>
      </c>
    </row>
    <row r="16">
      <c r="A16" s="2" t="inlineStr"/>
      <c r="B16" t="inlineStr"/>
    </row>
    <row r="17">
      <c r="A17" s="2" t="inlineStr">
        <is>
          <t>Scope</t>
        </is>
      </c>
      <c r="B17" t="inlineStr">
        <is>
          <t>Research and analysis only. This workbook expresses no view on whether to buy, sell or transact.</t>
        </is>
      </c>
    </row>
    <row r="18">
      <c r="A18" s="2" t="inlineStr">
        <is>
          <t>Not advice</t>
        </is>
      </c>
      <c r="B18" t="inlineStr">
        <is>
          <t>Not financial advice and not produced by a licensed advisor. Assumptions are estimates and will be wrong to some degree; the sensitivity tab exists to show by how much.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3" customWidth="1" min="3" max="3"/>
    <col width="13" customWidth="1" min="4" max="4"/>
    <col width="56" customWidth="1" min="5" max="5"/>
  </cols>
  <sheetData>
    <row r="1">
      <c r="A1" s="1" t="inlineStr">
        <is>
          <t>INPUTS — offering terms, peer set and the valuation blend</t>
        </is>
      </c>
    </row>
    <row r="2">
      <c r="A2" s="3" t="inlineStr">
        <is>
          <t>The IPO discount is the most judgemental number here, which is why it is an axis of the sensitivity grid.</t>
        </is>
      </c>
    </row>
    <row r="3">
      <c r="A3" s="4" t="inlineStr">
        <is>
          <t>Assumption</t>
        </is>
      </c>
      <c r="B3" s="4" t="inlineStr">
        <is>
          <t>Value</t>
        </is>
      </c>
      <c r="C3" s="4" t="inlineStr">
        <is>
          <t>Unit</t>
        </is>
      </c>
      <c r="E3" s="2" t="inlineStr">
        <is>
          <t>Basis / source</t>
        </is>
      </c>
    </row>
    <row r="4">
      <c r="A4" s="5" t="inlineStr">
        <is>
          <t>IPO discount to peers</t>
        </is>
      </c>
      <c r="B4" s="6" t="n">
        <v>0.12</v>
      </c>
      <c r="C4" t="inlineStr">
        <is>
          <t>%</t>
        </is>
      </c>
      <c r="E4" s="7" t="inlineStr">
        <is>
          <t>ESTIMATE: 10-15% is the customary IPO discount; midpoint taken</t>
        </is>
      </c>
    </row>
    <row r="5">
      <c r="A5" s="5" t="inlineStr">
        <is>
          <t>Primary gross proceeds target</t>
        </is>
      </c>
      <c r="B5" s="8" t="n">
        <v>900</v>
      </c>
      <c r="C5" t="inlineStr">
        <is>
          <t>millions</t>
        </is>
      </c>
      <c r="E5" s="7" t="inlineStr">
        <is>
          <t>Primary raise stated in the draft prospectus</t>
        </is>
      </c>
    </row>
    <row r="6">
      <c r="A6" s="5" t="inlineStr">
        <is>
          <t>Secondary shares sold</t>
        </is>
      </c>
      <c r="B6" s="8" t="n">
        <v>60</v>
      </c>
      <c r="C6" t="inlineStr">
        <is>
          <t>shares</t>
        </is>
      </c>
      <c r="E6" s="7" t="inlineStr">
        <is>
          <t>Selling shareholder shares per the draft prospectus</t>
        </is>
      </c>
    </row>
    <row r="7">
      <c r="A7" s="5" t="inlineStr">
        <is>
          <t>Pre-IPO shares outstanding</t>
        </is>
      </c>
      <c r="B7" s="8" t="n">
        <v>400</v>
      </c>
      <c r="C7" t="inlineStr">
        <is>
          <t>shares</t>
        </is>
      </c>
      <c r="E7" s="7" t="inlineStr">
        <is>
          <t>Share capital per the FY2025 audited accounts</t>
        </is>
      </c>
    </row>
    <row r="8">
      <c r="A8" s="5" t="inlineStr">
        <is>
          <t>Underwriting fee</t>
        </is>
      </c>
      <c r="B8" s="9" t="n">
        <v>0.035</v>
      </c>
      <c r="C8" t="inlineStr">
        <is>
          <t>%</t>
        </is>
      </c>
      <c r="E8" s="7" t="inlineStr">
        <is>
          <t>Gross spread in the underwriting agreement</t>
        </is>
      </c>
    </row>
    <row r="9">
      <c r="A9" s="5" t="inlineStr">
        <is>
          <t>Other offering costs</t>
        </is>
      </c>
      <c r="B9" s="8" t="n">
        <v>25</v>
      </c>
      <c r="C9" t="inlineStr">
        <is>
          <t>millions</t>
        </is>
      </c>
      <c r="E9" s="7" t="inlineStr">
        <is>
          <t>Listing, legal and audit costs per the prospectus</t>
        </is>
      </c>
    </row>
    <row r="10">
      <c r="A10" s="5" t="inlineStr">
        <is>
          <t>Greenshoe (% of base offer)</t>
        </is>
      </c>
      <c r="B10" s="9" t="n">
        <v>0.15</v>
      </c>
      <c r="C10" t="inlineStr">
        <is>
          <t>%</t>
        </is>
      </c>
      <c r="E10" s="7" t="inlineStr">
        <is>
          <t>Over-allotment option in the underwriting agreement</t>
        </is>
      </c>
    </row>
    <row r="11">
      <c r="A11" s="5" t="inlineStr">
        <is>
          <t>Net debt before the offering</t>
        </is>
      </c>
      <c r="B11" s="8" t="n">
        <v>1150</v>
      </c>
      <c r="C11" t="inlineStr">
        <is>
          <t>millions</t>
        </is>
      </c>
      <c r="E11" s="7" t="inlineStr">
        <is>
          <t>Total debt less cash, FY2025 balance sheet</t>
        </is>
      </c>
    </row>
    <row r="12">
      <c r="A12" s="5" t="inlineStr">
        <is>
          <t>Marketing range (+/-)</t>
        </is>
      </c>
      <c r="B12" s="9" t="n">
        <v>0.075</v>
      </c>
      <c r="C12" t="inlineStr">
        <is>
          <t>%</t>
        </is>
      </c>
      <c r="E12" s="7" t="inlineStr">
        <is>
          <t>Marketing range width per the bookrunners' proposal</t>
        </is>
      </c>
    </row>
    <row r="13">
      <c r="A13" s="5" t="inlineStr">
        <is>
          <t>Weight: EV/EBITDA method</t>
        </is>
      </c>
      <c r="B13" s="9" t="n">
        <v>0.5</v>
      </c>
      <c r="C13" t="inlineStr">
        <is>
          <t>%</t>
        </is>
      </c>
      <c r="E13" s="7" t="inlineStr">
        <is>
          <t>Primary method for this sector</t>
        </is>
      </c>
    </row>
    <row r="14">
      <c r="A14" s="5" t="inlineStr">
        <is>
          <t>Weight: EV/Sales method</t>
        </is>
      </c>
      <c r="B14" s="9" t="n">
        <v>0.2</v>
      </c>
      <c r="C14" t="inlineStr">
        <is>
          <t>%</t>
        </is>
      </c>
      <c r="E14" s="7" t="inlineStr">
        <is>
          <t>Secondary check; least weight given margin dispersion</t>
        </is>
      </c>
    </row>
    <row r="15">
      <c r="A15" s="5" t="inlineStr">
        <is>
          <t>Weight: P/E method</t>
        </is>
      </c>
      <c r="B15" s="9" t="n">
        <v>0.3</v>
      </c>
      <c r="C15" t="inlineStr">
        <is>
          <t>%</t>
        </is>
      </c>
      <c r="E15" s="7" t="inlineStr">
        <is>
          <t>Relevant because the company is already profitable</t>
        </is>
      </c>
    </row>
    <row r="16">
      <c r="A16" s="5" t="inlineStr">
        <is>
          <t>Sensitivity: peer multiple step</t>
        </is>
      </c>
      <c r="B16" s="10" t="n">
        <v>0.5</v>
      </c>
      <c r="C16" t="inlineStr">
        <is>
          <t>x</t>
        </is>
      </c>
      <c r="E16" s="7" t="inlineStr"/>
    </row>
    <row r="17">
      <c r="A17" s="5" t="inlineStr">
        <is>
          <t>Sensitivity: IPO discount step</t>
        </is>
      </c>
      <c r="B17" s="9" t="n">
        <v>0.03</v>
      </c>
      <c r="C17" t="inlineStr">
        <is>
          <t>%</t>
        </is>
      </c>
      <c r="E17" s="7" t="inlineStr"/>
    </row>
    <row r="19">
      <c r="A19" s="4" t="inlineStr">
        <is>
          <t>Forecast driver</t>
        </is>
      </c>
      <c r="B19" s="4" t="inlineStr">
        <is>
          <t>Y1</t>
        </is>
      </c>
      <c r="C19" s="4" t="inlineStr">
        <is>
          <t>Y2</t>
        </is>
      </c>
      <c r="D19" s="4" t="inlineStr">
        <is>
          <t>Y3</t>
        </is>
      </c>
      <c r="E19" s="2" t="inlineStr">
        <is>
          <t>Basis / source</t>
        </is>
      </c>
    </row>
    <row r="20">
      <c r="A20" s="5" t="inlineStr">
        <is>
          <t>Revenue growth</t>
        </is>
      </c>
      <c r="B20" s="9" t="n">
        <v>0.075</v>
      </c>
      <c r="C20" s="9" t="n">
        <v>0.068</v>
      </c>
      <c r="D20" s="9" t="n">
        <v>0.06</v>
      </c>
      <c r="E20" s="7" t="inlineStr">
        <is>
          <t>Prospectus forecast, cross-checked against the 10-year CAGR</t>
        </is>
      </c>
    </row>
    <row r="21">
      <c r="A21" s="5" t="inlineStr">
        <is>
          <t>EBITDA margin</t>
        </is>
      </c>
      <c r="B21" s="6" t="n">
        <v>0.262</v>
      </c>
      <c r="C21" s="6" t="n">
        <v>0.264</v>
      </c>
      <c r="D21" s="6" t="n">
        <v>0.265</v>
      </c>
      <c r="E21" s="7" t="inlineStr">
        <is>
          <t>ESTIMATE: held near FY2025, inside the 10-year range</t>
        </is>
      </c>
    </row>
    <row r="22">
      <c r="A22" s="5" t="inlineStr">
        <is>
          <t>Net margin</t>
        </is>
      </c>
      <c r="B22" s="6" t="n">
        <v>0.15</v>
      </c>
      <c r="C22" s="6" t="n">
        <v>0.152</v>
      </c>
      <c r="D22" s="6" t="n">
        <v>0.154</v>
      </c>
      <c r="E22" s="7" t="inlineStr">
        <is>
          <t>ESTIMATE: FY2025 net margin carried forward</t>
        </is>
      </c>
    </row>
    <row r="24">
      <c r="A24" s="4" t="inlineStr">
        <is>
          <t>Peer</t>
        </is>
      </c>
      <c r="B24" s="4" t="inlineStr">
        <is>
          <t>EV/EBITDA</t>
        </is>
      </c>
      <c r="C24" s="4" t="inlineStr">
        <is>
          <t>EV/Sales</t>
        </is>
      </c>
      <c r="D24" s="4" t="inlineStr">
        <is>
          <t>P/E</t>
        </is>
      </c>
      <c r="E24" s="2" t="inlineStr">
        <is>
          <t>Source</t>
        </is>
      </c>
    </row>
    <row r="25">
      <c r="A25" s="5" t="inlineStr">
        <is>
          <t>Peer One</t>
        </is>
      </c>
      <c r="B25" s="10" t="n">
        <v>10.5</v>
      </c>
      <c r="C25" s="10" t="n">
        <v>2.6</v>
      </c>
      <c r="D25" s="10" t="n">
        <v>18</v>
      </c>
      <c r="E25" s="7" t="inlineStr">
        <is>
          <t>exchange data, 2026-10-16</t>
        </is>
      </c>
    </row>
    <row r="26">
      <c r="A26" s="5" t="inlineStr">
        <is>
          <t>Peer Two</t>
        </is>
      </c>
      <c r="B26" s="10" t="n">
        <v>12</v>
      </c>
      <c r="C26" s="10" t="n">
        <v>3.1</v>
      </c>
      <c r="D26" s="10" t="n">
        <v>21.5</v>
      </c>
      <c r="E26" s="7" t="inlineStr">
        <is>
          <t>exchange data, 2026-10-16</t>
        </is>
      </c>
    </row>
    <row r="27">
      <c r="A27" s="5" t="inlineStr">
        <is>
          <t>Peer Three</t>
        </is>
      </c>
      <c r="B27" s="10" t="n">
        <v>9.4</v>
      </c>
      <c r="C27" s="10" t="n">
        <v>2.2</v>
      </c>
      <c r="D27" s="10" t="n">
        <v>16.2</v>
      </c>
      <c r="E27" s="7" t="inlineStr">
        <is>
          <t>exchange data, 2026-10-16</t>
        </is>
      </c>
    </row>
    <row r="28">
      <c r="A28" s="5" t="inlineStr">
        <is>
          <t>Peer Four</t>
        </is>
      </c>
      <c r="B28" s="10" t="n">
        <v>11.2</v>
      </c>
      <c r="C28" s="10" t="n">
        <v>2.9</v>
      </c>
      <c r="D28" s="10" t="n">
        <v>19.4</v>
      </c>
      <c r="E28" s="7" t="inlineStr">
        <is>
          <t>exchange data, 2026-10-16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56" customWidth="1" min="12" max="12"/>
  </cols>
  <sheetData>
    <row r="1">
      <c r="A1" s="1" t="inlineStr">
        <is>
          <t>HISTORICALS — 10 reported years</t>
        </is>
      </c>
    </row>
    <row r="2">
      <c r="A2" s="3" t="inlineStr">
        <is>
          <t>A long record is what distinguishes a pricing argument from a pitch; the last year drives the NTM figures the offer is priced on.</t>
        </is>
      </c>
    </row>
    <row r="3">
      <c r="A3" s="4" t="inlineStr">
        <is>
          <t>Metric</t>
        </is>
      </c>
      <c r="B3" s="4" t="inlineStr">
        <is>
          <t>2016</t>
        </is>
      </c>
      <c r="C3" s="4" t="inlineStr">
        <is>
          <t>2017</t>
        </is>
      </c>
      <c r="D3" s="4" t="inlineStr">
        <is>
          <t>2018</t>
        </is>
      </c>
      <c r="E3" s="4" t="inlineStr">
        <is>
          <t>2019</t>
        </is>
      </c>
      <c r="F3" s="4" t="inlineStr">
        <is>
          <t>2020</t>
        </is>
      </c>
      <c r="G3" s="4" t="inlineStr">
        <is>
          <t>2021</t>
        </is>
      </c>
      <c r="H3" s="4" t="inlineStr">
        <is>
          <t>2022</t>
        </is>
      </c>
      <c r="I3" s="4" t="inlineStr">
        <is>
          <t>2023</t>
        </is>
      </c>
      <c r="J3" s="4" t="inlineStr">
        <is>
          <t>2024</t>
        </is>
      </c>
      <c r="K3" s="4" t="inlineStr">
        <is>
          <t>2025</t>
        </is>
      </c>
      <c r="L3" s="2" t="inlineStr">
        <is>
          <t>Source (filing, date)</t>
        </is>
      </c>
    </row>
    <row r="4">
      <c r="A4" s="5" t="inlineStr">
        <is>
          <t>Revenue</t>
        </is>
      </c>
      <c r="B4" s="8" t="n">
        <v>2150</v>
      </c>
      <c r="C4" s="8" t="n">
        <v>2365</v>
      </c>
      <c r="D4" s="8" t="n">
        <v>2580</v>
      </c>
      <c r="E4" s="8" t="n">
        <v>2790</v>
      </c>
      <c r="F4" s="8" t="n">
        <v>2510</v>
      </c>
      <c r="G4" s="8" t="n">
        <v>2980</v>
      </c>
      <c r="H4" s="8" t="n">
        <v>3320</v>
      </c>
      <c r="I4" s="8" t="n">
        <v>3610</v>
      </c>
      <c r="J4" s="8" t="n">
        <v>3940</v>
      </c>
      <c r="K4" s="8" t="n">
        <v>4280</v>
      </c>
      <c r="L4" s="7" t="inlineStr">
        <is>
          <t>FY2016-FY2025 audited accounts in the draft prospectus, dated 2026-09-30 (revenue)</t>
        </is>
      </c>
    </row>
    <row r="5">
      <c r="A5" s="5" t="inlineStr">
        <is>
          <t>EBITDA</t>
        </is>
      </c>
      <c r="B5" s="8" t="n">
        <v>473.1</v>
      </c>
      <c r="C5" s="8" t="n">
        <v>536.9</v>
      </c>
      <c r="D5" s="8" t="n">
        <v>596</v>
      </c>
      <c r="E5" s="8" t="n">
        <v>655.6</v>
      </c>
      <c r="F5" s="8" t="n">
        <v>479.4</v>
      </c>
      <c r="G5" s="8" t="n">
        <v>727.1</v>
      </c>
      <c r="H5" s="8" t="n">
        <v>830</v>
      </c>
      <c r="I5" s="8" t="n">
        <v>920.6</v>
      </c>
      <c r="J5" s="8" t="n">
        <v>1020.5</v>
      </c>
      <c r="K5" s="8" t="n">
        <v>1129.9</v>
      </c>
      <c r="L5" s="7" t="inlineStr">
        <is>
          <t>FY2016-FY2025 audited accounts in the draft prospectus, dated 2026-09-30 (ebitda)</t>
        </is>
      </c>
    </row>
    <row r="6">
      <c r="A6" s="5" t="inlineStr">
        <is>
          <t>Net income</t>
        </is>
      </c>
      <c r="B6" s="8" t="n">
        <v>257.4</v>
      </c>
      <c r="C6" s="8" t="n">
        <v>294.7</v>
      </c>
      <c r="D6" s="8" t="n">
        <v>328.7</v>
      </c>
      <c r="E6" s="8" t="n">
        <v>363.2</v>
      </c>
      <c r="F6" s="8" t="n">
        <v>249.5</v>
      </c>
      <c r="G6" s="8" t="n">
        <v>406.8</v>
      </c>
      <c r="H6" s="8" t="n">
        <v>467.1</v>
      </c>
      <c r="I6" s="8" t="n">
        <v>520.6</v>
      </c>
      <c r="J6" s="8" t="n">
        <v>579.2</v>
      </c>
      <c r="K6" s="8" t="n">
        <v>644.1</v>
      </c>
      <c r="L6" s="7" t="inlineStr">
        <is>
          <t>FY2016-FY2025 audited accounts in the draft prospectus, dated 2026-09-30 (net_income)</t>
        </is>
      </c>
    </row>
    <row r="7">
      <c r="A7" s="5" t="inlineStr">
        <is>
          <t>EBITDA margin</t>
        </is>
      </c>
      <c r="B7" s="11">
        <f>B5/B4</f>
        <v/>
      </c>
      <c r="C7" s="11">
        <f>C5/C4</f>
        <v/>
      </c>
      <c r="D7" s="11">
        <f>D5/D4</f>
        <v/>
      </c>
      <c r="E7" s="11">
        <f>E5/E4</f>
        <v/>
      </c>
      <c r="F7" s="11">
        <f>F5/F4</f>
        <v/>
      </c>
      <c r="G7" s="11">
        <f>G5/G4</f>
        <v/>
      </c>
      <c r="H7" s="11">
        <f>H5/H4</f>
        <v/>
      </c>
      <c r="I7" s="11">
        <f>I5/I4</f>
        <v/>
      </c>
      <c r="J7" s="11">
        <f>J5/J4</f>
        <v/>
      </c>
      <c r="K7" s="11">
        <f>K5/K4</f>
        <v/>
      </c>
    </row>
    <row r="9">
      <c r="A9" s="1" t="inlineStr">
        <is>
          <t>What 10 years of history says</t>
        </is>
      </c>
    </row>
    <row r="10">
      <c r="A10" s="5" t="inlineStr">
        <is>
          <t>Revenue CAGR over the period</t>
        </is>
      </c>
      <c r="B10" s="12">
        <f>((K4/B4)^(1/9))-1</f>
        <v/>
      </c>
      <c r="C10" s="7" t="inlineStr">
        <is>
          <t>Investors price growth off the record, not the forecast</t>
        </is>
      </c>
    </row>
    <row r="11">
      <c r="A11" s="5" t="inlineStr">
        <is>
          <t>EBITDA margin — average</t>
        </is>
      </c>
      <c r="B11" s="12">
        <f>AVERAGE(B7:K7)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56" customWidth="1" min="3" max="3"/>
  </cols>
  <sheetData>
    <row r="1">
      <c r="A1" s="1" t="inlineStr">
        <is>
          <t>VALUATION — three peer methods, blended, then discounted</t>
        </is>
      </c>
    </row>
    <row r="2">
      <c r="A2" s="3" t="inlineStr">
        <is>
          <t>The blend weights are inputs, so the argument is visible rather than buried in one multiple.</t>
        </is>
      </c>
    </row>
    <row r="3">
      <c r="A3" s="4" t="inlineStr">
        <is>
          <t>Item</t>
        </is>
      </c>
      <c r="B3" s="4" t="inlineStr">
        <is>
          <t>Value</t>
        </is>
      </c>
    </row>
    <row r="4">
      <c r="A4" s="5" t="inlineStr">
        <is>
          <t>NTM revenue</t>
        </is>
      </c>
      <c r="B4" s="13">
        <f>HISTORICALS!K4*(1+INPUTS!B20)</f>
        <v/>
      </c>
    </row>
    <row r="5">
      <c r="A5" s="5" t="inlineStr">
        <is>
          <t>NTM EBITDA</t>
        </is>
      </c>
      <c r="B5" s="13">
        <f>B4*INPUTS!B21</f>
        <v/>
      </c>
    </row>
    <row r="6">
      <c r="A6" s="5" t="inlineStr">
        <is>
          <t>NTM net income</t>
        </is>
      </c>
      <c r="B6" s="13">
        <f>B4*INPUTS!B22</f>
        <v/>
      </c>
    </row>
    <row r="8">
      <c r="A8" s="5" t="inlineStr">
        <is>
          <t>Peer median EV/EBITDA</t>
        </is>
      </c>
      <c r="B8" s="14">
        <f>MEDIAN(INPUTS!B25:B28)</f>
        <v/>
      </c>
    </row>
    <row r="9">
      <c r="A9" s="5" t="inlineStr">
        <is>
          <t>Peer median EV/Sales</t>
        </is>
      </c>
      <c r="B9" s="14">
        <f>MEDIAN(INPUTS!C25:C28)</f>
        <v/>
      </c>
    </row>
    <row r="10">
      <c r="A10" s="5" t="inlineStr">
        <is>
          <t>Peer median P/E</t>
        </is>
      </c>
      <c r="B10" s="14">
        <f>MEDIAN(INPUTS!D25:D28)</f>
        <v/>
      </c>
    </row>
    <row r="12">
      <c r="A12" s="5" t="inlineStr">
        <is>
          <t>Equity value — EV/EBITDA method</t>
        </is>
      </c>
      <c r="B12" s="13">
        <f>B8*B5-INPUTS!$B$11</f>
        <v/>
      </c>
    </row>
    <row r="13">
      <c r="A13" s="5" t="inlineStr">
        <is>
          <t>Equity value — EV/Sales method</t>
        </is>
      </c>
      <c r="B13" s="13">
        <f>B9*B4-INPUTS!$B$11</f>
        <v/>
      </c>
    </row>
    <row r="14">
      <c r="A14" s="5" t="inlineStr">
        <is>
          <t>Equity value — P/E method</t>
        </is>
      </c>
      <c r="B14" s="13">
        <f>B10*B6</f>
        <v/>
      </c>
      <c r="C14" s="7" t="inlineStr">
        <is>
          <t>The P/E method needs no net debt adjustment — earnings are already after interest</t>
        </is>
      </c>
    </row>
    <row r="16">
      <c r="A16" s="5" t="inlineStr">
        <is>
          <t>Blended equity value (weighted)</t>
        </is>
      </c>
      <c r="B16" s="15">
        <f>INPUTS!$B$13*B12+INPUTS!$B$14*B13+INPUTS!$B$15*B14</f>
        <v/>
      </c>
    </row>
    <row r="17">
      <c r="A17" s="5" t="inlineStr">
        <is>
          <t>Less: IPO discount</t>
        </is>
      </c>
      <c r="B17" s="11">
        <f>INPUTS!$B$4</f>
        <v/>
      </c>
    </row>
    <row r="18">
      <c r="A18" s="5" t="inlineStr">
        <is>
          <t>Pre-money equity value</t>
        </is>
      </c>
      <c r="B18" s="16">
        <f>B16*(1-B17)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58" customWidth="1" min="3" max="3"/>
  </cols>
  <sheetData>
    <row r="1">
      <c r="A1" s="1" t="inlineStr">
        <is>
          <t>OFFERING — price, shares, ownership</t>
        </is>
      </c>
    </row>
    <row r="2">
      <c r="A2" s="3" t="inlineStr">
        <is>
          <t>Primary shares are solved from the proceeds target at the offer price, so the post-money value per share equals the offer price.</t>
        </is>
      </c>
    </row>
    <row r="3">
      <c r="A3" s="4" t="inlineStr">
        <is>
          <t>Item</t>
        </is>
      </c>
      <c r="B3" s="4" t="inlineStr">
        <is>
          <t>Value</t>
        </is>
      </c>
    </row>
    <row r="4">
      <c r="A4" s="5" t="inlineStr">
        <is>
          <t>Offer price</t>
        </is>
      </c>
      <c r="B4" s="17">
        <f>VALUATION!B18/INPUTS!$B$7</f>
        <v/>
      </c>
    </row>
    <row r="5">
      <c r="A5" s="5" t="inlineStr">
        <is>
          <t>Marketing range — low</t>
        </is>
      </c>
      <c r="B5" s="18">
        <f>B4*(1-INPUTS!$B$12)</f>
        <v/>
      </c>
    </row>
    <row r="6">
      <c r="A6" s="5" t="inlineStr">
        <is>
          <t>Marketing range — high</t>
        </is>
      </c>
      <c r="B6" s="18">
        <f>B4*(1+INPUTS!$B$12)</f>
        <v/>
      </c>
    </row>
    <row r="8">
      <c r="A8" s="5" t="inlineStr">
        <is>
          <t>Pre-IPO shares</t>
        </is>
      </c>
      <c r="B8" s="13">
        <f>INPUTS!$B$7</f>
        <v/>
      </c>
    </row>
    <row r="9">
      <c r="A9" s="5" t="inlineStr">
        <is>
          <t>New (primary) shares issued</t>
        </is>
      </c>
      <c r="B9" s="13">
        <f>INPUTS!$B$5/B4</f>
        <v/>
      </c>
    </row>
    <row r="10">
      <c r="A10" s="5" t="inlineStr">
        <is>
          <t>Secondary shares sold</t>
        </is>
      </c>
      <c r="B10" s="13">
        <f>INPUTS!$B$6</f>
        <v/>
      </c>
    </row>
    <row r="11">
      <c r="A11" s="5" t="inlineStr">
        <is>
          <t>Base shares offered</t>
        </is>
      </c>
      <c r="B11" s="13">
        <f>B9+B10</f>
        <v/>
      </c>
    </row>
    <row r="12">
      <c r="A12" s="5" t="inlineStr">
        <is>
          <t>Greenshoe shares</t>
        </is>
      </c>
      <c r="B12" s="13">
        <f>B11*INPUTS!$B$10</f>
        <v/>
      </c>
    </row>
    <row r="13">
      <c r="A13" s="5" t="inlineStr">
        <is>
          <t>Post-IPO shares outstanding</t>
        </is>
      </c>
      <c r="B13" s="15">
        <f>B8+B9</f>
        <v/>
      </c>
    </row>
    <row r="15">
      <c r="A15" s="5" t="inlineStr">
        <is>
          <t>Pre-money equity value</t>
        </is>
      </c>
      <c r="B15" s="13">
        <f>VALUATION!B18</f>
        <v/>
      </c>
    </row>
    <row r="16">
      <c r="A16" s="5" t="inlineStr">
        <is>
          <t>Post-money equity value</t>
        </is>
      </c>
      <c r="B16" s="16">
        <f>B15+INPUTS!$B$5</f>
        <v/>
      </c>
    </row>
    <row r="17">
      <c r="A17" s="5" t="inlineStr">
        <is>
          <t>Free float (base offer)</t>
        </is>
      </c>
      <c r="B17" s="11">
        <f>B11/B13</f>
        <v/>
      </c>
    </row>
    <row r="18">
      <c r="A18" s="5" t="inlineStr">
        <is>
          <t>Free float (with greenshoe)</t>
        </is>
      </c>
      <c r="B18" s="11">
        <f>(B11+B12)/B13</f>
        <v/>
      </c>
    </row>
    <row r="19">
      <c r="A19" s="5" t="inlineStr">
        <is>
          <t>Dilution to existing holders</t>
        </is>
      </c>
      <c r="B19" s="11">
        <f>B9/B13</f>
        <v/>
      </c>
    </row>
    <row r="21">
      <c r="A21" s="5" t="inlineStr">
        <is>
          <t>Net debt after the offering</t>
        </is>
      </c>
      <c r="B21" s="13">
        <f>INPUTS!$B$11-PROCEEDS!B9</f>
        <v/>
      </c>
    </row>
    <row r="22">
      <c r="A22" s="5" t="inlineStr">
        <is>
          <t>Post-IPO enterprise value</t>
        </is>
      </c>
      <c r="B22" s="13">
        <f>B16+B21</f>
        <v/>
      </c>
    </row>
    <row r="23">
      <c r="A23" s="5" t="inlineStr">
        <is>
          <t>Implied EV/EBITDA at the offer</t>
        </is>
      </c>
      <c r="B23" s="19">
        <f>B22/VALUATION!B5</f>
        <v/>
      </c>
    </row>
    <row r="24">
      <c r="A24" s="5" t="inlineStr">
        <is>
          <t>Implied P/E at the offer</t>
        </is>
      </c>
      <c r="B24" s="14">
        <f>B16/VALUATION!B6</f>
        <v/>
      </c>
    </row>
    <row r="25">
      <c r="A25" s="5" t="inlineStr">
        <is>
          <t>Implied discount to peer EV/EBITDA</t>
        </is>
      </c>
      <c r="B25" s="11">
        <f>B23/VALUATION!B8-1</f>
        <v/>
      </c>
      <c r="C25" s="7" t="inlineStr">
        <is>
          <t>Where the offering actually prices against the peer set, after the cash raised changes net debt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58" customWidth="1" min="3" max="3"/>
  </cols>
  <sheetData>
    <row r="1">
      <c r="A1" s="1" t="inlineStr">
        <is>
          <t>PROCEEDS — what is raised, what it costs, where it goes</t>
        </is>
      </c>
    </row>
    <row r="2">
      <c r="A2" s="3" t="inlineStr">
        <is>
          <t>Secondary proceeds go to the selling shareholders, not the company. Only net primary proceeds fund anything below.</t>
        </is>
      </c>
    </row>
    <row r="3">
      <c r="A3" s="4" t="inlineStr">
        <is>
          <t>Item</t>
        </is>
      </c>
      <c r="B3" s="4" t="inlineStr">
        <is>
          <t>Amount</t>
        </is>
      </c>
    </row>
    <row r="4">
      <c r="A4" s="5" t="inlineStr">
        <is>
          <t>Gross primary proceeds</t>
        </is>
      </c>
      <c r="B4" s="13">
        <f>INPUTS!$B$5</f>
        <v/>
      </c>
    </row>
    <row r="5">
      <c r="A5" s="5" t="inlineStr">
        <is>
          <t>Gross secondary proceeds</t>
        </is>
      </c>
      <c r="B5" s="13">
        <f>INPUTS!$B$6*OFFERING!B4</f>
        <v/>
      </c>
    </row>
    <row r="6">
      <c r="A6" s="5" t="inlineStr">
        <is>
          <t>Total gross proceeds</t>
        </is>
      </c>
      <c r="B6" s="15">
        <f>B4+B5</f>
        <v/>
      </c>
    </row>
    <row r="7">
      <c r="A7" s="5" t="inlineStr">
        <is>
          <t>Underwriting fees</t>
        </is>
      </c>
      <c r="B7" s="13">
        <f>B6*INPUTS!$B$8</f>
        <v/>
      </c>
    </row>
    <row r="8">
      <c r="A8" s="5" t="inlineStr">
        <is>
          <t>Other offering costs</t>
        </is>
      </c>
      <c r="B8" s="13">
        <f>INPUTS!$B$9</f>
        <v/>
      </c>
    </row>
    <row r="9">
      <c r="A9" s="5" t="inlineStr">
        <is>
          <t>Net primary proceeds to the company</t>
        </is>
      </c>
      <c r="B9" s="16">
        <f>B4*(1-INPUTS!$B$8)-B8</f>
        <v/>
      </c>
    </row>
    <row r="10">
      <c r="A10" s="5" t="inlineStr">
        <is>
          <t>Net secondary proceeds to selling holders</t>
        </is>
      </c>
      <c r="B10" s="13">
        <f>B5*(1-INPUTS!$B$8)</f>
        <v/>
      </c>
    </row>
    <row r="11">
      <c r="A11" s="5" t="inlineStr">
        <is>
          <t>Greenshoe proceeds (if exercised in full)</t>
        </is>
      </c>
      <c r="B11" s="13">
        <f>OFFERING!B12*OFFERING!B4</f>
        <v/>
      </c>
    </row>
    <row r="13">
      <c r="A13" s="1" t="inlineStr">
        <is>
          <t>Use of proceeds (company's net primary only)</t>
        </is>
      </c>
      <c r="C13" s="2" t="inlineStr">
        <is>
          <t>Basis / source</t>
        </is>
      </c>
    </row>
    <row r="14">
      <c r="A14" s="5" t="inlineStr">
        <is>
          <t>Repayment of term debt</t>
        </is>
      </c>
      <c r="B14" s="8" t="n">
        <v>463.9</v>
      </c>
      <c r="C14" s="7" t="inlineStr">
        <is>
          <t>Prospectus use of proceeds, section 4.2</t>
        </is>
      </c>
    </row>
    <row r="15">
      <c r="A15" s="5" t="inlineStr">
        <is>
          <t>Capacity expansion</t>
        </is>
      </c>
      <c r="B15" s="8" t="n">
        <v>253</v>
      </c>
      <c r="C15" s="7" t="inlineStr">
        <is>
          <t>Prospectus use of proceeds, section 4.2</t>
        </is>
      </c>
    </row>
    <row r="16">
      <c r="A16" s="5" t="inlineStr">
        <is>
          <t>General corporate purposes</t>
        </is>
      </c>
      <c r="B16" s="8" t="n">
        <v>126.6</v>
      </c>
      <c r="C16" s="7" t="inlineStr">
        <is>
          <t>Prospectus use of proceeds, section 4.2</t>
        </is>
      </c>
    </row>
    <row r="17">
      <c r="A17" s="5" t="inlineStr">
        <is>
          <t>Total stated uses</t>
        </is>
      </c>
      <c r="B17" s="13">
        <f>SUM(B14:B16)</f>
        <v/>
      </c>
    </row>
    <row r="18">
      <c r="A18" s="5" t="inlineStr">
        <is>
          <t>Unallocated (net primary − stated uses)</t>
        </is>
      </c>
      <c r="B18" s="16">
        <f>B9-B17</f>
        <v/>
      </c>
      <c r="C18" s="7" t="inlineStr">
        <is>
          <t>A large unallocated balance is a finding, not an error — say so rather than inventing a purpose for it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SENSITIVITY — offer price: peer EV/EBITDA vs IPO discount</t>
        </is>
      </c>
    </row>
    <row r="2">
      <c r="A2" s="3" t="inlineStr">
        <is>
          <t>Only the EV/EBITDA leg of the blend moves with the x-axis; the other two methods hold, which is what a real re-mark looks like.</t>
        </is>
      </c>
    </row>
    <row r="3">
      <c r="B3" s="2" t="inlineStr">
        <is>
          <t>Peer EV/EBITDA ↓ / IPO discount →</t>
        </is>
      </c>
    </row>
    <row r="4">
      <c r="C4" s="20">
        <f>INPUTS!$B$4+(COLUMN(C4)-5)*INPUTS!$B$17</f>
        <v/>
      </c>
      <c r="D4" s="20">
        <f>INPUTS!$B$4+(COLUMN(D4)-5)*INPUTS!$B$17</f>
        <v/>
      </c>
      <c r="E4" s="20">
        <f>INPUTS!$B$4+(COLUMN(E4)-5)*INPUTS!$B$17</f>
        <v/>
      </c>
      <c r="F4" s="20">
        <f>INPUTS!$B$4+(COLUMN(F4)-5)*INPUTS!$B$17</f>
        <v/>
      </c>
      <c r="G4" s="20">
        <f>INPUTS!$B$4+(COLUMN(G4)-5)*INPUTS!$B$17</f>
        <v/>
      </c>
    </row>
    <row r="5">
      <c r="B5" s="21">
        <f>VALUATION!$B$8+(ROW(B5)-7)*INPUTS!$B$16</f>
        <v/>
      </c>
      <c r="C5" s="18">
        <f>IF((INPUTS!$B$13*($B5*VALUATION!$B$5-INPUTS!$B$11)+INPUTS!$B$14*VALUATION!$B$13+INPUTS!$B$15*VALUATION!$B$14)&lt;=0,NA(),(INPUTS!$B$13*($B5*VALUATION!$B$5-INPUTS!$B$11)+INPUTS!$B$14*VALUATION!$B$13+INPUTS!$B$15*VALUATION!$B$14)*(1-C$4)/INPUTS!$B$7)</f>
        <v/>
      </c>
      <c r="D5" s="18">
        <f>IF((INPUTS!$B$13*($B5*VALUATION!$B$5-INPUTS!$B$11)+INPUTS!$B$14*VALUATION!$B$13+INPUTS!$B$15*VALUATION!$B$14)&lt;=0,NA(),(INPUTS!$B$13*($B5*VALUATION!$B$5-INPUTS!$B$11)+INPUTS!$B$14*VALUATION!$B$13+INPUTS!$B$15*VALUATION!$B$14)*(1-D$4)/INPUTS!$B$7)</f>
        <v/>
      </c>
      <c r="E5" s="18">
        <f>IF((INPUTS!$B$13*($B5*VALUATION!$B$5-INPUTS!$B$11)+INPUTS!$B$14*VALUATION!$B$13+INPUTS!$B$15*VALUATION!$B$14)&lt;=0,NA(),(INPUTS!$B$13*($B5*VALUATION!$B$5-INPUTS!$B$11)+INPUTS!$B$14*VALUATION!$B$13+INPUTS!$B$15*VALUATION!$B$14)*(1-E$4)/INPUTS!$B$7)</f>
        <v/>
      </c>
      <c r="F5" s="18">
        <f>IF((INPUTS!$B$13*($B5*VALUATION!$B$5-INPUTS!$B$11)+INPUTS!$B$14*VALUATION!$B$13+INPUTS!$B$15*VALUATION!$B$14)&lt;=0,NA(),(INPUTS!$B$13*($B5*VALUATION!$B$5-INPUTS!$B$11)+INPUTS!$B$14*VALUATION!$B$13+INPUTS!$B$15*VALUATION!$B$14)*(1-F$4)/INPUTS!$B$7)</f>
        <v/>
      </c>
      <c r="G5" s="18">
        <f>IF((INPUTS!$B$13*($B5*VALUATION!$B$5-INPUTS!$B$11)+INPUTS!$B$14*VALUATION!$B$13+INPUTS!$B$15*VALUATION!$B$14)&lt;=0,NA(),(INPUTS!$B$13*($B5*VALUATION!$B$5-INPUTS!$B$11)+INPUTS!$B$14*VALUATION!$B$13+INPUTS!$B$15*VALUATION!$B$14)*(1-G$4)/INPUTS!$B$7)</f>
        <v/>
      </c>
    </row>
    <row r="6">
      <c r="B6" s="21">
        <f>VALUATION!$B$8+(ROW(B6)-7)*INPUTS!$B$16</f>
        <v/>
      </c>
      <c r="C6" s="18">
        <f>IF((INPUTS!$B$13*($B6*VALUATION!$B$5-INPUTS!$B$11)+INPUTS!$B$14*VALUATION!$B$13+INPUTS!$B$15*VALUATION!$B$14)&lt;=0,NA(),(INPUTS!$B$13*($B6*VALUATION!$B$5-INPUTS!$B$11)+INPUTS!$B$14*VALUATION!$B$13+INPUTS!$B$15*VALUATION!$B$14)*(1-C$4)/INPUTS!$B$7)</f>
        <v/>
      </c>
      <c r="D6" s="18">
        <f>IF((INPUTS!$B$13*($B6*VALUATION!$B$5-INPUTS!$B$11)+INPUTS!$B$14*VALUATION!$B$13+INPUTS!$B$15*VALUATION!$B$14)&lt;=0,NA(),(INPUTS!$B$13*($B6*VALUATION!$B$5-INPUTS!$B$11)+INPUTS!$B$14*VALUATION!$B$13+INPUTS!$B$15*VALUATION!$B$14)*(1-D$4)/INPUTS!$B$7)</f>
        <v/>
      </c>
      <c r="E6" s="18">
        <f>IF((INPUTS!$B$13*($B6*VALUATION!$B$5-INPUTS!$B$11)+INPUTS!$B$14*VALUATION!$B$13+INPUTS!$B$15*VALUATION!$B$14)&lt;=0,NA(),(INPUTS!$B$13*($B6*VALUATION!$B$5-INPUTS!$B$11)+INPUTS!$B$14*VALUATION!$B$13+INPUTS!$B$15*VALUATION!$B$14)*(1-E$4)/INPUTS!$B$7)</f>
        <v/>
      </c>
      <c r="F6" s="18">
        <f>IF((INPUTS!$B$13*($B6*VALUATION!$B$5-INPUTS!$B$11)+INPUTS!$B$14*VALUATION!$B$13+INPUTS!$B$15*VALUATION!$B$14)&lt;=0,NA(),(INPUTS!$B$13*($B6*VALUATION!$B$5-INPUTS!$B$11)+INPUTS!$B$14*VALUATION!$B$13+INPUTS!$B$15*VALUATION!$B$14)*(1-F$4)/INPUTS!$B$7)</f>
        <v/>
      </c>
      <c r="G6" s="18">
        <f>IF((INPUTS!$B$13*($B6*VALUATION!$B$5-INPUTS!$B$11)+INPUTS!$B$14*VALUATION!$B$13+INPUTS!$B$15*VALUATION!$B$14)&lt;=0,NA(),(INPUTS!$B$13*($B6*VALUATION!$B$5-INPUTS!$B$11)+INPUTS!$B$14*VALUATION!$B$13+INPUTS!$B$15*VALUATION!$B$14)*(1-G$4)/INPUTS!$B$7)</f>
        <v/>
      </c>
    </row>
    <row r="7">
      <c r="B7" s="21">
        <f>VALUATION!$B$8+(ROW(B7)-7)*INPUTS!$B$16</f>
        <v/>
      </c>
      <c r="C7" s="18">
        <f>IF((INPUTS!$B$13*($B7*VALUATION!$B$5-INPUTS!$B$11)+INPUTS!$B$14*VALUATION!$B$13+INPUTS!$B$15*VALUATION!$B$14)&lt;=0,NA(),(INPUTS!$B$13*($B7*VALUATION!$B$5-INPUTS!$B$11)+INPUTS!$B$14*VALUATION!$B$13+INPUTS!$B$15*VALUATION!$B$14)*(1-C$4)/INPUTS!$B$7)</f>
        <v/>
      </c>
      <c r="D7" s="18">
        <f>IF((INPUTS!$B$13*($B7*VALUATION!$B$5-INPUTS!$B$11)+INPUTS!$B$14*VALUATION!$B$13+INPUTS!$B$15*VALUATION!$B$14)&lt;=0,NA(),(INPUTS!$B$13*($B7*VALUATION!$B$5-INPUTS!$B$11)+INPUTS!$B$14*VALUATION!$B$13+INPUTS!$B$15*VALUATION!$B$14)*(1-D$4)/INPUTS!$B$7)</f>
        <v/>
      </c>
      <c r="E7" s="17">
        <f>IF((INPUTS!$B$13*($B7*VALUATION!$B$5-INPUTS!$B$11)+INPUTS!$B$14*VALUATION!$B$13+INPUTS!$B$15*VALUATION!$B$14)&lt;=0,NA(),(INPUTS!$B$13*($B7*VALUATION!$B$5-INPUTS!$B$11)+INPUTS!$B$14*VALUATION!$B$13+INPUTS!$B$15*VALUATION!$B$14)*(1-E$4)/INPUTS!$B$7)</f>
        <v/>
      </c>
      <c r="F7" s="18">
        <f>IF((INPUTS!$B$13*($B7*VALUATION!$B$5-INPUTS!$B$11)+INPUTS!$B$14*VALUATION!$B$13+INPUTS!$B$15*VALUATION!$B$14)&lt;=0,NA(),(INPUTS!$B$13*($B7*VALUATION!$B$5-INPUTS!$B$11)+INPUTS!$B$14*VALUATION!$B$13+INPUTS!$B$15*VALUATION!$B$14)*(1-F$4)/INPUTS!$B$7)</f>
        <v/>
      </c>
      <c r="G7" s="18">
        <f>IF((INPUTS!$B$13*($B7*VALUATION!$B$5-INPUTS!$B$11)+INPUTS!$B$14*VALUATION!$B$13+INPUTS!$B$15*VALUATION!$B$14)&lt;=0,NA(),(INPUTS!$B$13*($B7*VALUATION!$B$5-INPUTS!$B$11)+INPUTS!$B$14*VALUATION!$B$13+INPUTS!$B$15*VALUATION!$B$14)*(1-G$4)/INPUTS!$B$7)</f>
        <v/>
      </c>
    </row>
    <row r="8">
      <c r="B8" s="21">
        <f>VALUATION!$B$8+(ROW(B8)-7)*INPUTS!$B$16</f>
        <v/>
      </c>
      <c r="C8" s="18">
        <f>IF((INPUTS!$B$13*($B8*VALUATION!$B$5-INPUTS!$B$11)+INPUTS!$B$14*VALUATION!$B$13+INPUTS!$B$15*VALUATION!$B$14)&lt;=0,NA(),(INPUTS!$B$13*($B8*VALUATION!$B$5-INPUTS!$B$11)+INPUTS!$B$14*VALUATION!$B$13+INPUTS!$B$15*VALUATION!$B$14)*(1-C$4)/INPUTS!$B$7)</f>
        <v/>
      </c>
      <c r="D8" s="18">
        <f>IF((INPUTS!$B$13*($B8*VALUATION!$B$5-INPUTS!$B$11)+INPUTS!$B$14*VALUATION!$B$13+INPUTS!$B$15*VALUATION!$B$14)&lt;=0,NA(),(INPUTS!$B$13*($B8*VALUATION!$B$5-INPUTS!$B$11)+INPUTS!$B$14*VALUATION!$B$13+INPUTS!$B$15*VALUATION!$B$14)*(1-D$4)/INPUTS!$B$7)</f>
        <v/>
      </c>
      <c r="E8" s="18">
        <f>IF((INPUTS!$B$13*($B8*VALUATION!$B$5-INPUTS!$B$11)+INPUTS!$B$14*VALUATION!$B$13+INPUTS!$B$15*VALUATION!$B$14)&lt;=0,NA(),(INPUTS!$B$13*($B8*VALUATION!$B$5-INPUTS!$B$11)+INPUTS!$B$14*VALUATION!$B$13+INPUTS!$B$15*VALUATION!$B$14)*(1-E$4)/INPUTS!$B$7)</f>
        <v/>
      </c>
      <c r="F8" s="18">
        <f>IF((INPUTS!$B$13*($B8*VALUATION!$B$5-INPUTS!$B$11)+INPUTS!$B$14*VALUATION!$B$13+INPUTS!$B$15*VALUATION!$B$14)&lt;=0,NA(),(INPUTS!$B$13*($B8*VALUATION!$B$5-INPUTS!$B$11)+INPUTS!$B$14*VALUATION!$B$13+INPUTS!$B$15*VALUATION!$B$14)*(1-F$4)/INPUTS!$B$7)</f>
        <v/>
      </c>
      <c r="G8" s="18">
        <f>IF((INPUTS!$B$13*($B8*VALUATION!$B$5-INPUTS!$B$11)+INPUTS!$B$14*VALUATION!$B$13+INPUTS!$B$15*VALUATION!$B$14)&lt;=0,NA(),(INPUTS!$B$13*($B8*VALUATION!$B$5-INPUTS!$B$11)+INPUTS!$B$14*VALUATION!$B$13+INPUTS!$B$15*VALUATION!$B$14)*(1-G$4)/INPUTS!$B$7)</f>
        <v/>
      </c>
    </row>
    <row r="9">
      <c r="B9" s="21">
        <f>VALUATION!$B$8+(ROW(B9)-7)*INPUTS!$B$16</f>
        <v/>
      </c>
      <c r="C9" s="18">
        <f>IF((INPUTS!$B$13*($B9*VALUATION!$B$5-INPUTS!$B$11)+INPUTS!$B$14*VALUATION!$B$13+INPUTS!$B$15*VALUATION!$B$14)&lt;=0,NA(),(INPUTS!$B$13*($B9*VALUATION!$B$5-INPUTS!$B$11)+INPUTS!$B$14*VALUATION!$B$13+INPUTS!$B$15*VALUATION!$B$14)*(1-C$4)/INPUTS!$B$7)</f>
        <v/>
      </c>
      <c r="D9" s="18">
        <f>IF((INPUTS!$B$13*($B9*VALUATION!$B$5-INPUTS!$B$11)+INPUTS!$B$14*VALUATION!$B$13+INPUTS!$B$15*VALUATION!$B$14)&lt;=0,NA(),(INPUTS!$B$13*($B9*VALUATION!$B$5-INPUTS!$B$11)+INPUTS!$B$14*VALUATION!$B$13+INPUTS!$B$15*VALUATION!$B$14)*(1-D$4)/INPUTS!$B$7)</f>
        <v/>
      </c>
      <c r="E9" s="18">
        <f>IF((INPUTS!$B$13*($B9*VALUATION!$B$5-INPUTS!$B$11)+INPUTS!$B$14*VALUATION!$B$13+INPUTS!$B$15*VALUATION!$B$14)&lt;=0,NA(),(INPUTS!$B$13*($B9*VALUATION!$B$5-INPUTS!$B$11)+INPUTS!$B$14*VALUATION!$B$13+INPUTS!$B$15*VALUATION!$B$14)*(1-E$4)/INPUTS!$B$7)</f>
        <v/>
      </c>
      <c r="F9" s="18">
        <f>IF((INPUTS!$B$13*($B9*VALUATION!$B$5-INPUTS!$B$11)+INPUTS!$B$14*VALUATION!$B$13+INPUTS!$B$15*VALUATION!$B$14)&lt;=0,NA(),(INPUTS!$B$13*($B9*VALUATION!$B$5-INPUTS!$B$11)+INPUTS!$B$14*VALUATION!$B$13+INPUTS!$B$15*VALUATION!$B$14)*(1-F$4)/INPUTS!$B$7)</f>
        <v/>
      </c>
      <c r="G9" s="18">
        <f>IF((INPUTS!$B$13*($B9*VALUATION!$B$5-INPUTS!$B$11)+INPUTS!$B$14*VALUATION!$B$13+INPUTS!$B$15*VALUATION!$B$14)&lt;=0,NA(),(INPUTS!$B$13*($B9*VALUATION!$B$5-INPUTS!$B$11)+INPUTS!$B$14*VALUATION!$B$13+INPUTS!$B$15*VALUATION!$B$14)*(1-G$4)/INPUTS!$B$7)</f>
        <v/>
      </c>
    </row>
    <row r="11">
      <c r="B11" s="3" t="inlineStr">
        <is>
          <t>Shaded centre cell = base case; it must equal the offer price on OFFERING (CHECKS verifies this).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  <col width="66" customWidth="1" min="3" max="3"/>
  </cols>
  <sheetData>
    <row r="1">
      <c r="A1" s="1" t="inlineStr">
        <is>
          <t>CHECKS — live assertions, recomputed by Excel</t>
        </is>
      </c>
    </row>
    <row r="2">
      <c r="A2" s="3" t="inlineStr">
        <is>
          <t>Every row must read PASS. These recompute identities independently of the cells they test.</t>
        </is>
      </c>
    </row>
    <row r="3">
      <c r="A3" s="4" t="inlineStr">
        <is>
          <t>Check</t>
        </is>
      </c>
      <c r="B3" s="4" t="inlineStr">
        <is>
          <t>Result</t>
        </is>
      </c>
      <c r="C3" s="4" t="inlineStr">
        <is>
          <t>What it proves</t>
        </is>
      </c>
    </row>
    <row r="4">
      <c r="A4" s="5" t="inlineStr">
        <is>
          <t>Valuation weights sum to 100%</t>
        </is>
      </c>
      <c r="B4" s="22">
        <f>IF(ABS(INPUTS!$B$13+INPUTS!$B$14+INPUTS!$B$15-1)&lt;0.0001,"PASS","FAIL")</f>
        <v/>
      </c>
      <c r="C4" s="7" t="inlineStr">
        <is>
          <t>The blend is a weighted average, not an accident</t>
        </is>
      </c>
    </row>
    <row r="5">
      <c r="A5" s="5" t="inlineStr">
        <is>
          <t>Post-money value per share equals the offer price</t>
        </is>
      </c>
      <c r="B5" s="22">
        <f>IF(ABS(OFFERING!B16/OFFERING!B13-OFFERING!B4)&lt;0.0001,"PASS","FAIL")</f>
        <v/>
      </c>
      <c r="C5" s="7" t="inlineStr">
        <is>
          <t>Primary shares were solved at the offer price, so the two must agree</t>
        </is>
      </c>
    </row>
    <row r="6">
      <c r="A6" s="5" t="inlineStr">
        <is>
          <t>Primary shares raise exactly the proceeds target</t>
        </is>
      </c>
      <c r="B6" s="22">
        <f>IF(ABS(OFFERING!B9*OFFERING!B4-INPUTS!$B$5)&lt;0.01,"PASS","FAIL")</f>
        <v/>
      </c>
      <c r="C6" s="7" t="inlineStr">
        <is>
          <t>Shares issued x price = gross primary proceeds</t>
        </is>
      </c>
    </row>
    <row r="7">
      <c r="A7" s="5" t="inlineStr">
        <is>
          <t>Pre-money plus proceeds equals post-money</t>
        </is>
      </c>
      <c r="B7" s="22">
        <f>IF(ABS(OFFERING!B16-(OFFERING!B15+INPUTS!$B$5))&lt;0.01,"PASS","FAIL")</f>
        <v/>
      </c>
      <c r="C7" s="7" t="inlineStr">
        <is>
          <t>No value appears or disappears at the moment of issue</t>
        </is>
      </c>
    </row>
    <row r="8">
      <c r="A8" s="5" t="inlineStr">
        <is>
          <t>Offer price is positive</t>
        </is>
      </c>
      <c r="B8" s="22">
        <f>IF(OFFERING!B4&gt;0,"PASS","FAIL")</f>
        <v/>
      </c>
      <c r="C8" s="7" t="inlineStr">
        <is>
          <t>A non-positive price means the blend or the discount is wrong</t>
        </is>
      </c>
    </row>
    <row r="9">
      <c r="A9" s="5" t="inlineStr">
        <is>
          <t>IPO discount between 0% and 100%</t>
        </is>
      </c>
      <c r="B9" s="22">
        <f>IF(AND(INPUTS!$B$4&gt;=0,INPUTS!$B$4&lt;1),"PASS","FAIL")</f>
        <v/>
      </c>
      <c r="C9" s="7" t="inlineStr">
        <is>
          <t>A discount outside this range is a data error</t>
        </is>
      </c>
    </row>
    <row r="10">
      <c r="A10" s="5" t="inlineStr">
        <is>
          <t>Free float does not exceed 100%</t>
        </is>
      </c>
      <c r="B10" s="22">
        <f>IF(OFFERING!B18&lt;=1,"PASS","FAIL")</f>
        <v/>
      </c>
      <c r="C10" s="7" t="inlineStr">
        <is>
          <t>Shares offered cannot exceed shares outstanding</t>
        </is>
      </c>
    </row>
    <row r="11">
      <c r="A11" s="5" t="inlineStr">
        <is>
          <t>Net primary proceeds below gross</t>
        </is>
      </c>
      <c r="B11" s="22">
        <f>IF(PROCEEDS!B9&lt;PROCEEDS!B4,"PASS","FAIL")</f>
        <v/>
      </c>
      <c r="C11" s="7" t="inlineStr">
        <is>
          <t>Fees and costs are actually deducted</t>
        </is>
      </c>
    </row>
    <row r="12">
      <c r="A12" s="5" t="inlineStr">
        <is>
          <t>Sensitivity centre equals the offer price</t>
        </is>
      </c>
      <c r="B12" s="22">
        <f>IF(ABS(SENSITIVITY!E7-OFFERING!B4)&lt;0.0001,"PASS","FAIL")</f>
        <v/>
      </c>
      <c r="C12" s="7" t="inlineStr">
        <is>
          <t>The grid is wired to the same valuation</t>
        </is>
      </c>
    </row>
    <row r="13">
      <c r="A13" s="5" t="inlineStr">
        <is>
          <t>Implied multiple at or below the peer median</t>
        </is>
      </c>
      <c r="B13" s="22">
        <f>IF(OFFERING!B23&lt;=VALUATION!B8,"PASS","REVIEW")</f>
        <v/>
      </c>
      <c r="C13" s="7" t="inlineStr">
        <is>
          <t>An IPO pricing above its peer set is unusual enough to need saying</t>
        </is>
      </c>
    </row>
    <row r="14">
      <c r="A14" s="5" t="inlineStr">
        <is>
          <t>Use of proceeds fully allocated</t>
        </is>
      </c>
      <c r="B14" s="22">
        <f>IF(ABS(PROCEEDS!B18)&lt;0.01,"PASS","REVIEW")</f>
        <v/>
      </c>
      <c r="C14" s="7" t="inlineStr">
        <is>
          <t>REVIEW means a balance is unallocated — report it, do not invent a use</t>
        </is>
      </c>
    </row>
    <row r="15">
      <c r="A15" s="5" t="inlineStr">
        <is>
          <t>Free float at or above 15%</t>
        </is>
      </c>
      <c r="B15" s="22">
        <f>IF(OFFERING!B17&gt;=0.15,"PASS","REVIEW")</f>
        <v/>
      </c>
      <c r="C15" s="7" t="inlineStr">
        <is>
          <t>Most exchanges require a minimum float; below this, check the rule for the listing venue</t>
        </is>
      </c>
    </row>
    <row r="17">
      <c r="A17" s="1" t="inlineStr">
        <is>
          <t>OVERALL</t>
        </is>
      </c>
      <c r="B17" s="23">
        <f>IF(COUNTIF(B4:B15,"FAIL")=0,"ALL PASS","FAILURES PRESENT")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2026-10-17T15:06:31Z</dcterms:created>
  <dcterms:modified xmlns:dcterms="http://purl.org/dc/terms/" xmlns:xsi="http://www.w3.org/2001/XMLSchema-instance" xsi:type="dcterms:W3CDTF">2026-10-17T15:06:31Z</dcterms:modified>
</cp:coreProperties>
</file>