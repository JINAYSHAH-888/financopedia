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BALANCE" sheetId="5" state="visible" r:id="rId5"/>
    <sheet xmlns:r="http://schemas.openxmlformats.org/officeDocument/2006/relationships" name="CASHFLOW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DUPONT" sheetId="8" state="visible" r:id="rId8"/>
    <sheet xmlns:r="http://schemas.openxmlformats.org/officeDocument/2006/relationships"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x"/>
    <numFmt numFmtId="167" formatCode="0.000000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color rgb="000000CC"/>
      <sz val="11"/>
    </font>
    <font>
      <name val="Calibri"/>
      <i val="1"/>
      <color rgb="00B45F06"/>
      <sz val="11"/>
    </font>
    <font>
      <name val="Calibri"/>
      <color rgb="00000000"/>
      <sz val="11"/>
    </font>
    <font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E0"/>
      </patternFill>
    </fill>
    <fill>
      <patternFill patternType="solid">
        <fgColor rgb="00EEF2F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CDD6"/>
      </left>
      <right style="thin">
        <color rgb="00C8CDD6"/>
      </right>
      <top style="thin">
        <color rgb="00C8CDD6"/>
      </top>
      <bottom style="thin">
        <color rgb="00C8CD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5" fillId="0" borderId="1" pivotButton="0" quotePrefix="0" xfId="0"/>
    <xf numFmtId="0" fontId="3" fillId="0" borderId="0" applyAlignment="1" pivotButton="0" quotePrefix="0" xfId="0">
      <alignment vertical="top" wrapText="1"/>
    </xf>
    <xf numFmtId="165" fontId="5" fillId="0" borderId="1" pivotButton="0" quotePrefix="0" xfId="0"/>
    <xf numFmtId="164" fontId="6" fillId="3" borderId="1" pivotButton="0" quotePrefix="0" xfId="0"/>
    <xf numFmtId="3" fontId="5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164" fontId="7" fillId="4" borderId="1" pivotButton="0" quotePrefix="0" xfId="0"/>
    <xf numFmtId="165" fontId="7" fillId="5" borderId="1" pivotButton="0" quotePrefix="0" xfId="0"/>
    <xf numFmtId="0" fontId="4" fillId="4" borderId="0" applyAlignment="1" pivotButton="0" quotePrefix="0" xfId="0">
      <alignment horizontal="center" vertical="center"/>
    </xf>
    <xf numFmtId="164" fontId="7" fillId="0" borderId="1" pivotButton="0" quotePrefix="0" xfId="0"/>
    <xf numFmtId="3" fontId="7" fillId="0" borderId="1" pivotButton="0" quotePrefix="0" xfId="0"/>
    <xf numFmtId="166" fontId="7" fillId="0" borderId="1" pivotButton="0" quotePrefix="0" xfId="0"/>
    <xf numFmtId="164" fontId="7" fillId="5" borderId="1" pivotButton="0" quotePrefix="0" xfId="0"/>
    <xf numFmtId="167" fontId="7" fillId="0" borderId="1" pivotButton="0" quotePrefix="0" xfId="0"/>
    <xf numFmtId="0" fontId="8" fillId="0" borderId="1" pivotButton="0" quotePrefix="0" xfId="0"/>
    <xf numFmtId="0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12" customWidth="1" min="2" max="2"/>
  </cols>
  <sheetData>
    <row r="1">
      <c r="A1" s="1" t="inlineStr">
        <is>
          <t>Testco Industries plc (TSTC) — Three-statement operating model</t>
        </is>
      </c>
    </row>
    <row r="3">
      <c r="A3" s="2" t="inlineStr">
        <is>
          <t>Built</t>
        </is>
      </c>
      <c r="B3" t="inlineStr">
        <is>
          <t>2026-10-17</t>
        </is>
      </c>
    </row>
    <row r="4">
      <c r="A4" s="2" t="inlineStr">
        <is>
          <t>Currency</t>
        </is>
      </c>
      <c r="B4" t="inlineStr">
        <is>
          <t>USD</t>
        </is>
      </c>
    </row>
    <row r="5">
      <c r="A5" s="2" t="inlineStr">
        <is>
          <t>Units</t>
        </is>
      </c>
      <c r="B5" t="inlineStr">
        <is>
          <t>millions</t>
        </is>
      </c>
    </row>
    <row r="6">
      <c r="A6" s="2" t="inlineStr">
        <is>
          <t>Fiscal year end</t>
        </is>
      </c>
      <c r="B6" t="inlineStr">
        <is>
          <t>31 December</t>
        </is>
      </c>
    </row>
    <row r="7">
      <c r="A7" s="2" t="inlineStr">
        <is>
          <t>Generated by</t>
        </is>
      </c>
      <c r="B7" t="inlineStr">
        <is>
          <t>Financopedia build_model.py</t>
        </is>
      </c>
    </row>
    <row r="8">
      <c r="A8" s="2" t="inlineStr"/>
      <c r="B8" t="inlineStr"/>
    </row>
    <row r="9">
      <c r="A9" s="2" t="inlineStr">
        <is>
          <t>Colour key</t>
        </is>
      </c>
      <c r="B9" t="inlineStr">
        <is>
          <t>Blue = input you can change · Black = formula · Amber italic = estimated input</t>
        </is>
      </c>
    </row>
    <row r="10">
      <c r="A10" s="2" t="inlineStr">
        <is>
          <t>Structure</t>
        </is>
      </c>
      <c r="B10" t="inlineStr">
        <is>
          <t>Every figure outside INPUTS and HISTORICALS is a formula. Change an input, the model moves.</t>
        </is>
      </c>
    </row>
    <row r="11">
      <c r="A11" s="2" t="inlineStr">
        <is>
          <t>CHECKS tab</t>
        </is>
      </c>
      <c r="B11" t="inlineStr">
        <is>
          <t>Live assertions recomputing the model's identities. All must read PASS.</t>
        </is>
      </c>
    </row>
    <row r="12">
      <c r="A12" s="2" t="inlineStr">
        <is>
          <t>History</t>
        </is>
      </c>
      <c r="B12" t="inlineStr">
        <is>
          <t>10 reported years of income statement, balance sheet and operating cash flow</t>
        </is>
      </c>
    </row>
    <row r="13">
      <c r="A13" s="2" t="inlineStr">
        <is>
          <t>DUPONT tab</t>
        </is>
      </c>
      <c r="B13" t="inlineStr">
        <is>
          <t>Return on equity split into margin, asset efficiency and leverage, on average balances</t>
        </is>
      </c>
    </row>
    <row r="14">
      <c r="A14" s="2" t="inlineStr">
        <is>
          <t>Forecast</t>
        </is>
      </c>
      <c r="B14" t="inlineStr">
        <is>
          <t>7 years, fully linked</t>
        </is>
      </c>
    </row>
    <row r="15">
      <c r="A15" s="2" t="inlineStr">
        <is>
          <t>Interest</t>
        </is>
      </c>
      <c r="B15" t="inlineStr">
        <is>
          <t>Charged on opening balances, so the workbook needs no iterative calculation. It slightly understates interest in a year of heavy drawdown.</t>
        </is>
      </c>
    </row>
    <row r="16">
      <c r="A16" s="2" t="inlineStr">
        <is>
          <t>Cash plug</t>
        </is>
      </c>
      <c r="B16" t="inlineStr">
        <is>
          <t>A revolver draws to hold the minimum cash balance and sweeps surplus cash to repay itself.</t>
        </is>
      </c>
    </row>
    <row r="17">
      <c r="A17" s="2" t="inlineStr">
        <is>
          <t>Held flat</t>
        </is>
      </c>
      <c r="B17" t="inlineStr">
        <is>
          <t>Other assets, other current liabilities and other long-term liabilities are carried at their last reported value rather than forecast.</t>
        </is>
      </c>
    </row>
    <row r="18">
      <c r="A18" s="2" t="inlineStr"/>
      <c r="B18" t="inlineStr"/>
    </row>
    <row r="19">
      <c r="A19" s="2" t="inlineStr">
        <is>
          <t>Scope</t>
        </is>
      </c>
      <c r="B19" t="inlineStr">
        <is>
          <t>Research and analysis only. This workbook expresses no view on whether to buy, sell or transact.</t>
        </is>
      </c>
    </row>
    <row r="20">
      <c r="A20" s="2" t="inlineStr">
        <is>
          <t>Not advice</t>
        </is>
      </c>
      <c r="B20" t="inlineStr">
        <is>
          <t>Not financial advice and not produced by a licensed advisor. Assumptions are estimates and will be wrong to some degree; the sensitivity tab exists to show by how much.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</cols>
  <sheetData>
    <row r="1">
      <c r="A1" s="1" t="inlineStr">
        <is>
          <t>INPUTS — every assumption behind the three statements</t>
        </is>
      </c>
    </row>
    <row r="2">
      <c r="A2" s="3" t="inlineStr">
        <is>
          <t>Blue = input. Amber italic = estimated. Interest is charged on opening balances, so the model needs no iterative calculation.</t>
        </is>
      </c>
    </row>
    <row r="3">
      <c r="A3" s="4" t="inlineStr">
        <is>
          <t>Assumption</t>
        </is>
      </c>
      <c r="B3" s="4" t="inlineStr">
        <is>
          <t>Value</t>
        </is>
      </c>
      <c r="C3" s="4" t="inlineStr">
        <is>
          <t>Unit</t>
        </is>
      </c>
      <c r="I3" s="2" t="inlineStr">
        <is>
          <t>Basis / source</t>
        </is>
      </c>
    </row>
    <row r="4">
      <c r="A4" s="5" t="inlineStr">
        <is>
          <t>Tax rate</t>
        </is>
      </c>
      <c r="B4" s="6" t="n">
        <v>0.21</v>
      </c>
      <c r="C4" t="inlineStr">
        <is>
          <t>%</t>
        </is>
      </c>
      <c r="I4" s="7" t="inlineStr">
        <is>
          <t>FY2025 effective rate per the 10-K tax footnote</t>
        </is>
      </c>
    </row>
    <row r="5">
      <c r="A5" s="5" t="inlineStr">
        <is>
          <t>Interest rate — term debt</t>
        </is>
      </c>
      <c r="B5" s="6" t="n">
        <v>0.055</v>
      </c>
      <c r="C5" t="inlineStr">
        <is>
          <t>%</t>
        </is>
      </c>
      <c r="I5" s="7" t="inlineStr">
        <is>
          <t>Weighted average coupon, FY2025 10-K debt footnote</t>
        </is>
      </c>
    </row>
    <row r="6">
      <c r="A6" s="5" t="inlineStr">
        <is>
          <t>Interest rate — revolver</t>
        </is>
      </c>
      <c r="B6" s="6" t="n">
        <v>0.075</v>
      </c>
      <c r="C6" t="inlineStr">
        <is>
          <t>%</t>
        </is>
      </c>
      <c r="I6" s="7" t="inlineStr">
        <is>
          <t>Revolver margin over base rate per the credit agreement</t>
        </is>
      </c>
    </row>
    <row r="7">
      <c r="A7" s="5" t="inlineStr">
        <is>
          <t>Interest earned on cash</t>
        </is>
      </c>
      <c r="B7" s="6" t="n">
        <v>0.03</v>
      </c>
      <c r="C7" t="inlineStr">
        <is>
          <t>%</t>
        </is>
      </c>
      <c r="I7" s="7" t="inlineStr">
        <is>
          <t>Short-term deposit rate, 2026-10-16</t>
        </is>
      </c>
    </row>
    <row r="8">
      <c r="A8" s="5" t="inlineStr">
        <is>
          <t>Minimum cash balance</t>
        </is>
      </c>
      <c r="B8" s="8" t="n">
        <v>250</v>
      </c>
      <c r="C8" t="inlineStr">
        <is>
          <t>millions</t>
        </is>
      </c>
      <c r="I8" s="7" t="inlineStr">
        <is>
          <t>Management's stated minimum operating cash (Q4 FY2025 call)</t>
        </is>
      </c>
    </row>
    <row r="9">
      <c r="A9" s="5" t="inlineStr">
        <is>
          <t>Dividend payout ratio</t>
        </is>
      </c>
      <c r="B9" s="9" t="n">
        <v>0.3</v>
      </c>
      <c r="C9" t="inlineStr">
        <is>
          <t>%</t>
        </is>
      </c>
      <c r="I9" s="7" t="inlineStr">
        <is>
          <t>ESTIMATE: FY2023-FY2025 average payout</t>
        </is>
      </c>
    </row>
    <row r="10">
      <c r="A10" s="5" t="inlineStr">
        <is>
          <t>Opening revolver balance</t>
        </is>
      </c>
      <c r="B10" s="8" t="n">
        <v>0</v>
      </c>
      <c r="C10" t="inlineStr">
        <is>
          <t>millions</t>
        </is>
      </c>
      <c r="I10" s="7" t="inlineStr">
        <is>
          <t>Nil drawn at FY2025 year end per the 10-K</t>
        </is>
      </c>
    </row>
    <row r="12">
      <c r="A12" s="4" t="inlineStr">
        <is>
          <t>Forecast driver</t>
        </is>
      </c>
      <c r="B12" s="4" t="inlineStr">
        <is>
          <t>Y1</t>
        </is>
      </c>
      <c r="C12" s="4" t="inlineStr">
        <is>
          <t>Y2</t>
        </is>
      </c>
      <c r="D12" s="4" t="inlineStr">
        <is>
          <t>Y3</t>
        </is>
      </c>
      <c r="E12" s="4" t="inlineStr">
        <is>
          <t>Y4</t>
        </is>
      </c>
      <c r="F12" s="4" t="inlineStr">
        <is>
          <t>Y5</t>
        </is>
      </c>
      <c r="G12" s="4" t="inlineStr">
        <is>
          <t>Y6</t>
        </is>
      </c>
      <c r="H12" s="4" t="inlineStr">
        <is>
          <t>Y7</t>
        </is>
      </c>
      <c r="I12" s="2" t="inlineStr">
        <is>
          <t>Basis / source</t>
        </is>
      </c>
    </row>
    <row r="13">
      <c r="A13" s="5" t="inlineStr">
        <is>
          <t>Revenue growth</t>
        </is>
      </c>
      <c r="B13" s="6" t="n">
        <v>0.075</v>
      </c>
      <c r="C13" s="6" t="n">
        <v>0.068</v>
      </c>
      <c r="D13" s="6" t="n">
        <v>0.06</v>
      </c>
      <c r="E13" s="6" t="n">
        <v>0.052</v>
      </c>
      <c r="F13" s="6" t="n">
        <v>0.045</v>
      </c>
      <c r="G13" s="6" t="n">
        <v>0.04</v>
      </c>
      <c r="H13" s="6" t="n">
        <v>0.035</v>
      </c>
      <c r="I13" s="7" t="inlineStr">
        <is>
          <t>Y1 guided (Q4 FY2025 call, 2026-02-14); fades toward the 10-year CAGR</t>
        </is>
      </c>
    </row>
    <row r="14">
      <c r="A14" s="5" t="inlineStr">
        <is>
          <t>Gross margin</t>
        </is>
      </c>
      <c r="B14" s="9" t="n">
        <v>0.415</v>
      </c>
      <c r="C14" s="9" t="n">
        <v>0.416</v>
      </c>
      <c r="D14" s="9" t="n">
        <v>0.417</v>
      </c>
      <c r="E14" s="9" t="n">
        <v>0.417</v>
      </c>
      <c r="F14" s="9" t="n">
        <v>0.418</v>
      </c>
      <c r="G14" s="9" t="n">
        <v>0.418</v>
      </c>
      <c r="H14" s="9" t="n">
        <v>0.418</v>
      </c>
      <c r="I14" s="7" t="inlineStr">
        <is>
          <t>ESTIMATE: held near FY2025, inside the 10-year range</t>
        </is>
      </c>
    </row>
    <row r="15">
      <c r="A15" s="5" t="inlineStr">
        <is>
          <t>SG&amp;A (% of revenue)</t>
        </is>
      </c>
      <c r="B15" s="6" t="n">
        <v>0.15</v>
      </c>
      <c r="C15" s="6" t="n">
        <v>0.149</v>
      </c>
      <c r="D15" s="6" t="n">
        <v>0.149</v>
      </c>
      <c r="E15" s="6" t="n">
        <v>0.148</v>
      </c>
      <c r="F15" s="6" t="n">
        <v>0.148</v>
      </c>
      <c r="G15" s="6" t="n">
        <v>0.148</v>
      </c>
      <c r="H15" s="6" t="n">
        <v>0.148</v>
      </c>
      <c r="I15" s="7" t="inlineStr">
        <is>
          <t>Continues the 10-year operating leverage trend</t>
        </is>
      </c>
    </row>
    <row r="16">
      <c r="A16" s="5" t="inlineStr">
        <is>
          <t>D&amp;A (% of revenue)</t>
        </is>
      </c>
      <c r="B16" s="6" t="n">
        <v>0.049</v>
      </c>
      <c r="C16" s="6" t="n">
        <v>0.049</v>
      </c>
      <c r="D16" s="6" t="n">
        <v>0.049</v>
      </c>
      <c r="E16" s="6" t="n">
        <v>0.049</v>
      </c>
      <c r="F16" s="6" t="n">
        <v>0.049</v>
      </c>
      <c r="G16" s="6" t="n">
        <v>0.049</v>
      </c>
      <c r="H16" s="6" t="n">
        <v>0.049</v>
      </c>
      <c r="I16" s="7" t="inlineStr">
        <is>
          <t>10-year average of D&amp;A over revenue</t>
        </is>
      </c>
    </row>
    <row r="17">
      <c r="A17" s="5" t="inlineStr">
        <is>
          <t>Capex (% of revenue)</t>
        </is>
      </c>
      <c r="B17" s="6" t="n">
        <v>0.06</v>
      </c>
      <c r="C17" s="6" t="n">
        <v>0.059</v>
      </c>
      <c r="D17" s="6" t="n">
        <v>0.058</v>
      </c>
      <c r="E17" s="6" t="n">
        <v>0.057</v>
      </c>
      <c r="F17" s="6" t="n">
        <v>0.056</v>
      </c>
      <c r="G17" s="6" t="n">
        <v>0.055</v>
      </c>
      <c r="H17" s="6" t="n">
        <v>0.055</v>
      </c>
      <c r="I17" s="7" t="inlineStr">
        <is>
          <t>Y1 guided capex; fades to the 10-year average</t>
        </is>
      </c>
    </row>
    <row r="18">
      <c r="A18" s="5" t="inlineStr">
        <is>
          <t>Days sales outstanding</t>
        </is>
      </c>
      <c r="B18" s="10" t="n">
        <v>52</v>
      </c>
      <c r="C18" s="10" t="n">
        <v>52</v>
      </c>
      <c r="D18" s="10" t="n">
        <v>52</v>
      </c>
      <c r="E18" s="10" t="n">
        <v>52</v>
      </c>
      <c r="F18" s="10" t="n">
        <v>52</v>
      </c>
      <c r="G18" s="10" t="n">
        <v>52</v>
      </c>
      <c r="H18" s="10" t="n">
        <v>52</v>
      </c>
      <c r="I18" s="7" t="inlineStr">
        <is>
          <t>10-year average receivable days</t>
        </is>
      </c>
    </row>
    <row r="19">
      <c r="A19" s="5" t="inlineStr">
        <is>
          <t>Days inventory outstanding</t>
        </is>
      </c>
      <c r="B19" s="10" t="n">
        <v>68</v>
      </c>
      <c r="C19" s="10" t="n">
        <v>68</v>
      </c>
      <c r="D19" s="10" t="n">
        <v>68</v>
      </c>
      <c r="E19" s="10" t="n">
        <v>68</v>
      </c>
      <c r="F19" s="10" t="n">
        <v>68</v>
      </c>
      <c r="G19" s="10" t="n">
        <v>68</v>
      </c>
      <c r="H19" s="10" t="n">
        <v>68</v>
      </c>
      <c r="I19" s="7" t="inlineStr">
        <is>
          <t>10-year average inventory days</t>
        </is>
      </c>
    </row>
    <row r="20">
      <c r="A20" s="5" t="inlineStr">
        <is>
          <t>Days payables outstanding</t>
        </is>
      </c>
      <c r="B20" s="10" t="n">
        <v>55</v>
      </c>
      <c r="C20" s="10" t="n">
        <v>55</v>
      </c>
      <c r="D20" s="10" t="n">
        <v>55</v>
      </c>
      <c r="E20" s="10" t="n">
        <v>55</v>
      </c>
      <c r="F20" s="10" t="n">
        <v>55</v>
      </c>
      <c r="G20" s="10" t="n">
        <v>55</v>
      </c>
      <c r="H20" s="10" t="n">
        <v>55</v>
      </c>
      <c r="I20" s="7" t="inlineStr">
        <is>
          <t>10-year average payable days</t>
        </is>
      </c>
    </row>
    <row r="21">
      <c r="A21" s="5" t="inlineStr">
        <is>
          <t>Other current assets (% of revenue)</t>
        </is>
      </c>
      <c r="B21" s="9" t="n">
        <v>0.03</v>
      </c>
      <c r="C21" s="9" t="n">
        <v>0.03</v>
      </c>
      <c r="D21" s="9" t="n">
        <v>0.03</v>
      </c>
      <c r="E21" s="9" t="n">
        <v>0.03</v>
      </c>
      <c r="F21" s="9" t="n">
        <v>0.03</v>
      </c>
      <c r="G21" s="9" t="n">
        <v>0.03</v>
      </c>
      <c r="H21" s="9" t="n">
        <v>0.03</v>
      </c>
      <c r="I21" s="7" t="inlineStr">
        <is>
          <t>ESTIMATE: 10-year average</t>
        </is>
      </c>
    </row>
    <row r="22">
      <c r="A22" s="5" t="inlineStr">
        <is>
          <t>Accrued liabilities (% of revenue)</t>
        </is>
      </c>
      <c r="B22" s="9" t="n">
        <v>0.05</v>
      </c>
      <c r="C22" s="9" t="n">
        <v>0.05</v>
      </c>
      <c r="D22" s="9" t="n">
        <v>0.05</v>
      </c>
      <c r="E22" s="9" t="n">
        <v>0.05</v>
      </c>
      <c r="F22" s="9" t="n">
        <v>0.05</v>
      </c>
      <c r="G22" s="9" t="n">
        <v>0.05</v>
      </c>
      <c r="H22" s="9" t="n">
        <v>0.05</v>
      </c>
      <c r="I22" s="7" t="inlineStr">
        <is>
          <t>ESTIMATE: 10-year average</t>
        </is>
      </c>
    </row>
    <row r="23">
      <c r="A23" s="5" t="inlineStr">
        <is>
          <t>Scheduled term debt repayment</t>
        </is>
      </c>
      <c r="B23" s="8" t="n">
        <v>80</v>
      </c>
      <c r="C23" s="8" t="n">
        <v>80</v>
      </c>
      <c r="D23" s="8" t="n">
        <v>80</v>
      </c>
      <c r="E23" s="8" t="n">
        <v>80</v>
      </c>
      <c r="F23" s="8" t="n">
        <v>80</v>
      </c>
      <c r="G23" s="8" t="n">
        <v>80</v>
      </c>
      <c r="H23" s="8" t="n">
        <v>80</v>
      </c>
      <c r="I23" s="7" t="inlineStr">
        <is>
          <t>Contractual amortisation per the FY2025 10-K debt footnote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2" customWidth="1" min="12" max="12"/>
  </cols>
  <sheetData>
    <row r="1">
      <c r="A1" s="1" t="inlineStr">
        <is>
          <t>HISTORICALS — 10 reported years of income statement and balance sheet</t>
        </is>
      </c>
    </row>
    <row r="2">
      <c r="A2" s="3" t="inlineStr">
        <is>
          <t>Blue = as reported. The balance row proves each year's reported balance sheet actually balances.</t>
        </is>
      </c>
    </row>
    <row r="3">
      <c r="A3" s="4" t="inlineStr">
        <is>
          <t>Line item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  <c r="L3" s="2" t="inlineStr">
        <is>
          <t>Source (filing, date)</t>
        </is>
      </c>
    </row>
    <row r="4">
      <c r="A4" s="5" t="inlineStr">
        <is>
          <t>Revenue</t>
        </is>
      </c>
      <c r="B4" s="8" t="n">
        <v>2150</v>
      </c>
      <c r="C4" s="8" t="n">
        <v>2365</v>
      </c>
      <c r="D4" s="8" t="n">
        <v>2580</v>
      </c>
      <c r="E4" s="8" t="n">
        <v>2790</v>
      </c>
      <c r="F4" s="8" t="n">
        <v>2510</v>
      </c>
      <c r="G4" s="8" t="n">
        <v>2980</v>
      </c>
      <c r="H4" s="8" t="n">
        <v>3320</v>
      </c>
      <c r="I4" s="8" t="n">
        <v>3610</v>
      </c>
      <c r="J4" s="8" t="n">
        <v>3940</v>
      </c>
      <c r="K4" s="8" t="n">
        <v>4280</v>
      </c>
      <c r="L4" s="7" t="inlineStr">
        <is>
          <t>FY2016-FY2025 10-K filings; FY2025 filed 2026-02-14 (revenue)</t>
        </is>
      </c>
    </row>
    <row r="5">
      <c r="A5" s="5" t="inlineStr">
        <is>
          <t>Cost of goods sold</t>
        </is>
      </c>
      <c r="B5" s="8" t="n">
        <v>1322.2</v>
      </c>
      <c r="C5" s="8" t="n">
        <v>1445</v>
      </c>
      <c r="D5" s="8" t="n">
        <v>1568.6</v>
      </c>
      <c r="E5" s="8" t="n">
        <v>1688</v>
      </c>
      <c r="F5" s="8" t="n">
        <v>1601.4</v>
      </c>
      <c r="G5" s="8" t="n">
        <v>1788</v>
      </c>
      <c r="H5" s="8" t="n">
        <v>1975.4</v>
      </c>
      <c r="I5" s="8" t="n">
        <v>2137.1</v>
      </c>
      <c r="J5" s="8" t="n">
        <v>2320.7</v>
      </c>
      <c r="K5" s="8" t="n">
        <v>2508.1</v>
      </c>
      <c r="L5" s="7" t="inlineStr">
        <is>
          <t>FY2016-FY2025 10-K filings; FY2025 filed 2026-02-14 (cogs)</t>
        </is>
      </c>
    </row>
    <row r="6">
      <c r="A6" s="5" t="inlineStr">
        <is>
          <t>Gross profit</t>
        </is>
      </c>
      <c r="B6" s="11">
        <f>B4-B5</f>
        <v/>
      </c>
      <c r="C6" s="11">
        <f>C4-C5</f>
        <v/>
      </c>
      <c r="D6" s="11">
        <f>D4-D5</f>
        <v/>
      </c>
      <c r="E6" s="11">
        <f>E4-E5</f>
        <v/>
      </c>
      <c r="F6" s="11">
        <f>F4-F5</f>
        <v/>
      </c>
      <c r="G6" s="11">
        <f>G4-G5</f>
        <v/>
      </c>
      <c r="H6" s="11">
        <f>H4-H5</f>
        <v/>
      </c>
      <c r="I6" s="11">
        <f>I4-I5</f>
        <v/>
      </c>
      <c r="J6" s="11">
        <f>J4-J5</f>
        <v/>
      </c>
      <c r="K6" s="11">
        <f>K4-K5</f>
        <v/>
      </c>
    </row>
    <row r="7">
      <c r="A7" s="5" t="inlineStr">
        <is>
          <t>SG&amp;A</t>
        </is>
      </c>
      <c r="B7" s="8" t="n">
        <v>354.8</v>
      </c>
      <c r="C7" s="8" t="n">
        <v>385.5</v>
      </c>
      <c r="D7" s="8" t="n">
        <v>418</v>
      </c>
      <c r="E7" s="8" t="n">
        <v>449.2</v>
      </c>
      <c r="F7" s="8" t="n">
        <v>431.7</v>
      </c>
      <c r="G7" s="8" t="n">
        <v>467.9</v>
      </c>
      <c r="H7" s="8" t="n">
        <v>514.6</v>
      </c>
      <c r="I7" s="8" t="n">
        <v>552.3</v>
      </c>
      <c r="J7" s="8" t="n">
        <v>598.9</v>
      </c>
      <c r="K7" s="8" t="n">
        <v>642</v>
      </c>
      <c r="L7" s="7" t="inlineStr">
        <is>
          <t>FY2016-FY2025 10-K filings; FY2025 filed 2026-02-14 (sga)</t>
        </is>
      </c>
    </row>
    <row r="8">
      <c r="A8" s="5" t="inlineStr">
        <is>
          <t>EBITDA</t>
        </is>
      </c>
      <c r="B8" s="11">
        <f>B6-B7</f>
        <v/>
      </c>
      <c r="C8" s="11">
        <f>C6-C7</f>
        <v/>
      </c>
      <c r="D8" s="11">
        <f>D6-D7</f>
        <v/>
      </c>
      <c r="E8" s="11">
        <f>E6-E7</f>
        <v/>
      </c>
      <c r="F8" s="11">
        <f>F6-F7</f>
        <v/>
      </c>
      <c r="G8" s="11">
        <f>G6-G7</f>
        <v/>
      </c>
      <c r="H8" s="11">
        <f>H6-H7</f>
        <v/>
      </c>
      <c r="I8" s="11">
        <f>I6-I7</f>
        <v/>
      </c>
      <c r="J8" s="11">
        <f>J6-J7</f>
        <v/>
      </c>
      <c r="K8" s="11">
        <f>K6-K7</f>
        <v/>
      </c>
    </row>
    <row r="9">
      <c r="A9" s="5" t="inlineStr">
        <is>
          <t>D&amp;A</t>
        </is>
      </c>
      <c r="B9" s="8" t="n">
        <v>105.4</v>
      </c>
      <c r="C9" s="8" t="n">
        <v>115.9</v>
      </c>
      <c r="D9" s="8" t="n">
        <v>126.4</v>
      </c>
      <c r="E9" s="8" t="n">
        <v>136.7</v>
      </c>
      <c r="F9" s="8" t="n">
        <v>123</v>
      </c>
      <c r="G9" s="8" t="n">
        <v>146</v>
      </c>
      <c r="H9" s="8" t="n">
        <v>162.7</v>
      </c>
      <c r="I9" s="8" t="n">
        <v>176.9</v>
      </c>
      <c r="J9" s="8" t="n">
        <v>193.1</v>
      </c>
      <c r="K9" s="8" t="n">
        <v>209.7</v>
      </c>
      <c r="L9" s="7" t="inlineStr">
        <is>
          <t>FY2016-FY2025 10-K filings; FY2025 filed 2026-02-14 (da)</t>
        </is>
      </c>
    </row>
    <row r="10">
      <c r="A10" s="5" t="inlineStr">
        <is>
          <t>EBIT</t>
        </is>
      </c>
      <c r="B10" s="11">
        <f>B8-B9</f>
        <v/>
      </c>
      <c r="C10" s="11">
        <f>C8-C9</f>
        <v/>
      </c>
      <c r="D10" s="11">
        <f>D8-D9</f>
        <v/>
      </c>
      <c r="E10" s="11">
        <f>E8-E9</f>
        <v/>
      </c>
      <c r="F10" s="11">
        <f>F8-F9</f>
        <v/>
      </c>
      <c r="G10" s="11">
        <f>G8-G9</f>
        <v/>
      </c>
      <c r="H10" s="11">
        <f>H8-H9</f>
        <v/>
      </c>
      <c r="I10" s="11">
        <f>I8-I9</f>
        <v/>
      </c>
      <c r="J10" s="11">
        <f>J8-J9</f>
        <v/>
      </c>
      <c r="K10" s="11">
        <f>K8-K9</f>
        <v/>
      </c>
    </row>
    <row r="11">
      <c r="A11" s="5" t="inlineStr">
        <is>
          <t>Capex</t>
        </is>
      </c>
      <c r="B11" s="8" t="n">
        <v>133.3</v>
      </c>
      <c r="C11" s="8" t="n">
        <v>153.7</v>
      </c>
      <c r="D11" s="8" t="n">
        <v>157.4</v>
      </c>
      <c r="E11" s="8" t="n">
        <v>161.8</v>
      </c>
      <c r="F11" s="8" t="n">
        <v>102.9</v>
      </c>
      <c r="G11" s="8" t="n">
        <v>175.8</v>
      </c>
      <c r="H11" s="8" t="n">
        <v>209.2</v>
      </c>
      <c r="I11" s="8" t="n">
        <v>216.6</v>
      </c>
      <c r="J11" s="8" t="n">
        <v>228.5</v>
      </c>
      <c r="K11" s="8" t="n">
        <v>256.8</v>
      </c>
      <c r="L11" s="7" t="inlineStr">
        <is>
          <t>FY2016-FY2025 10-K filings; FY2025 filed 2026-02-14 (capex)</t>
        </is>
      </c>
    </row>
    <row r="13">
      <c r="A13" s="5" t="inlineStr">
        <is>
          <t>Cash and equivalents</t>
        </is>
      </c>
      <c r="B13" s="8" t="n">
        <v>176.3</v>
      </c>
      <c r="C13" s="8" t="n">
        <v>193.9</v>
      </c>
      <c r="D13" s="8" t="n">
        <v>211.6</v>
      </c>
      <c r="E13" s="8" t="n">
        <v>228.8</v>
      </c>
      <c r="F13" s="8" t="n">
        <v>205.8</v>
      </c>
      <c r="G13" s="8" t="n">
        <v>244.4</v>
      </c>
      <c r="H13" s="8" t="n">
        <v>272.2</v>
      </c>
      <c r="I13" s="8" t="n">
        <v>296</v>
      </c>
      <c r="J13" s="8" t="n">
        <v>323.1</v>
      </c>
      <c r="K13" s="8" t="n">
        <v>351</v>
      </c>
      <c r="L13" s="7" t="inlineStr">
        <is>
          <t>FY2016-FY2025 10-K filings; FY2025 filed 2026-02-14 (cash)</t>
        </is>
      </c>
    </row>
    <row r="14">
      <c r="A14" s="5" t="inlineStr">
        <is>
          <t>Accounts receivable</t>
        </is>
      </c>
      <c r="B14" s="8" t="n">
        <v>306.3</v>
      </c>
      <c r="C14" s="8" t="n">
        <v>336.9</v>
      </c>
      <c r="D14" s="8" t="n">
        <v>367.6</v>
      </c>
      <c r="E14" s="8" t="n">
        <v>397.5</v>
      </c>
      <c r="F14" s="8" t="n">
        <v>357.6</v>
      </c>
      <c r="G14" s="8" t="n">
        <v>424.5</v>
      </c>
      <c r="H14" s="8" t="n">
        <v>473</v>
      </c>
      <c r="I14" s="8" t="n">
        <v>514.3</v>
      </c>
      <c r="J14" s="8" t="n">
        <v>561.3</v>
      </c>
      <c r="K14" s="8" t="n">
        <v>609.8</v>
      </c>
      <c r="L14" s="7" t="inlineStr">
        <is>
          <t>FY2016-FY2025 10-K filings; FY2025 filed 2026-02-14 (ar)</t>
        </is>
      </c>
    </row>
    <row r="15">
      <c r="A15" s="5" t="inlineStr">
        <is>
          <t>Inventory</t>
        </is>
      </c>
      <c r="B15" s="8" t="n">
        <v>246.3</v>
      </c>
      <c r="C15" s="8" t="n">
        <v>269.2</v>
      </c>
      <c r="D15" s="8" t="n">
        <v>292.2</v>
      </c>
      <c r="E15" s="8" t="n">
        <v>314.5</v>
      </c>
      <c r="F15" s="8" t="n">
        <v>298.3</v>
      </c>
      <c r="G15" s="8" t="n">
        <v>333.1</v>
      </c>
      <c r="H15" s="8" t="n">
        <v>368</v>
      </c>
      <c r="I15" s="8" t="n">
        <v>398.1</v>
      </c>
      <c r="J15" s="8" t="n">
        <v>432.3</v>
      </c>
      <c r="K15" s="8" t="n">
        <v>467.3</v>
      </c>
      <c r="L15" s="7" t="inlineStr">
        <is>
          <t>FY2016-FY2025 10-K filings; FY2025 filed 2026-02-14 (inventory)</t>
        </is>
      </c>
    </row>
    <row r="16">
      <c r="A16" s="5" t="inlineStr">
        <is>
          <t>Other current assets</t>
        </is>
      </c>
      <c r="B16" s="8" t="n">
        <v>64.5</v>
      </c>
      <c r="C16" s="8" t="n">
        <v>71</v>
      </c>
      <c r="D16" s="8" t="n">
        <v>77.40000000000001</v>
      </c>
      <c r="E16" s="8" t="n">
        <v>83.7</v>
      </c>
      <c r="F16" s="8" t="n">
        <v>75.3</v>
      </c>
      <c r="G16" s="8" t="n">
        <v>89.40000000000001</v>
      </c>
      <c r="H16" s="8" t="n">
        <v>99.59999999999999</v>
      </c>
      <c r="I16" s="8" t="n">
        <v>108.3</v>
      </c>
      <c r="J16" s="8" t="n">
        <v>118.2</v>
      </c>
      <c r="K16" s="8" t="n">
        <v>128.4</v>
      </c>
      <c r="L16" s="7" t="inlineStr">
        <is>
          <t>FY2016-FY2025 10-K filings; FY2025 filed 2026-02-14 (other_ca)</t>
        </is>
      </c>
    </row>
    <row r="17">
      <c r="A17" s="5" t="inlineStr">
        <is>
          <t>Net PP&amp;E</t>
        </is>
      </c>
      <c r="B17" s="8" t="n">
        <v>1182.5</v>
      </c>
      <c r="C17" s="8" t="n">
        <v>1300.8</v>
      </c>
      <c r="D17" s="8" t="n">
        <v>1419</v>
      </c>
      <c r="E17" s="8" t="n">
        <v>1534.5</v>
      </c>
      <c r="F17" s="8" t="n">
        <v>1380.5</v>
      </c>
      <c r="G17" s="8" t="n">
        <v>1639</v>
      </c>
      <c r="H17" s="8" t="n">
        <v>1826</v>
      </c>
      <c r="I17" s="8" t="n">
        <v>1985.5</v>
      </c>
      <c r="J17" s="8" t="n">
        <v>2167</v>
      </c>
      <c r="K17" s="8" t="n">
        <v>2354</v>
      </c>
      <c r="L17" s="7" t="inlineStr">
        <is>
          <t>FY2016-FY2025 10-K filings; FY2025 filed 2026-02-14 (ppe_net)</t>
        </is>
      </c>
    </row>
    <row r="18">
      <c r="A18" s="5" t="inlineStr">
        <is>
          <t>Other assets</t>
        </is>
      </c>
      <c r="B18" s="8" t="n">
        <v>200</v>
      </c>
      <c r="C18" s="8" t="n">
        <v>200</v>
      </c>
      <c r="D18" s="8" t="n">
        <v>200</v>
      </c>
      <c r="E18" s="8" t="n">
        <v>200</v>
      </c>
      <c r="F18" s="8" t="n">
        <v>200</v>
      </c>
      <c r="G18" s="8" t="n">
        <v>200</v>
      </c>
      <c r="H18" s="8" t="n">
        <v>200</v>
      </c>
      <c r="I18" s="8" t="n">
        <v>200</v>
      </c>
      <c r="J18" s="8" t="n">
        <v>200</v>
      </c>
      <c r="K18" s="8" t="n">
        <v>200</v>
      </c>
      <c r="L18" s="7" t="inlineStr">
        <is>
          <t>FY2016-FY2025 10-K filings; FY2025 filed 2026-02-14 (other_assets)</t>
        </is>
      </c>
    </row>
    <row r="19">
      <c r="A19" s="5" t="inlineStr">
        <is>
          <t>Total assets</t>
        </is>
      </c>
      <c r="B19" s="12">
        <f>SUM(B13:B18)</f>
        <v/>
      </c>
      <c r="C19" s="12">
        <f>SUM(C13:C18)</f>
        <v/>
      </c>
      <c r="D19" s="12">
        <f>SUM(D13:D18)</f>
        <v/>
      </c>
      <c r="E19" s="12">
        <f>SUM(E13:E18)</f>
        <v/>
      </c>
      <c r="F19" s="12">
        <f>SUM(F13:F18)</f>
        <v/>
      </c>
      <c r="G19" s="12">
        <f>SUM(G13:G18)</f>
        <v/>
      </c>
      <c r="H19" s="12">
        <f>SUM(H13:H18)</f>
        <v/>
      </c>
      <c r="I19" s="12">
        <f>SUM(I13:I18)</f>
        <v/>
      </c>
      <c r="J19" s="12">
        <f>SUM(J13:J18)</f>
        <v/>
      </c>
      <c r="K19" s="12">
        <f>SUM(K13:K18)</f>
        <v/>
      </c>
    </row>
    <row r="21">
      <c r="A21" s="5" t="inlineStr">
        <is>
          <t>Accounts payable</t>
        </is>
      </c>
      <c r="B21" s="8" t="n">
        <v>199.2</v>
      </c>
      <c r="C21" s="8" t="n">
        <v>217.7</v>
      </c>
      <c r="D21" s="8" t="n">
        <v>236.4</v>
      </c>
      <c r="E21" s="8" t="n">
        <v>254.4</v>
      </c>
      <c r="F21" s="8" t="n">
        <v>241.3</v>
      </c>
      <c r="G21" s="8" t="n">
        <v>269.4</v>
      </c>
      <c r="H21" s="8" t="n">
        <v>297.7</v>
      </c>
      <c r="I21" s="8" t="n">
        <v>322</v>
      </c>
      <c r="J21" s="8" t="n">
        <v>349.7</v>
      </c>
      <c r="K21" s="8" t="n">
        <v>377.9</v>
      </c>
      <c r="L21" s="7" t="inlineStr">
        <is>
          <t>FY2016-FY2025 10-K filings; FY2025 filed 2026-02-14 (ap)</t>
        </is>
      </c>
    </row>
    <row r="22">
      <c r="A22" s="5" t="inlineStr">
        <is>
          <t>Accrued liabilities</t>
        </is>
      </c>
      <c r="B22" s="8" t="n">
        <v>107.5</v>
      </c>
      <c r="C22" s="8" t="n">
        <v>118.2</v>
      </c>
      <c r="D22" s="8" t="n">
        <v>129</v>
      </c>
      <c r="E22" s="8" t="n">
        <v>139.5</v>
      </c>
      <c r="F22" s="8" t="n">
        <v>125.5</v>
      </c>
      <c r="G22" s="8" t="n">
        <v>149</v>
      </c>
      <c r="H22" s="8" t="n">
        <v>166</v>
      </c>
      <c r="I22" s="8" t="n">
        <v>180.5</v>
      </c>
      <c r="J22" s="8" t="n">
        <v>197</v>
      </c>
      <c r="K22" s="8" t="n">
        <v>214</v>
      </c>
      <c r="L22" s="7" t="inlineStr">
        <is>
          <t>FY2016-FY2025 10-K filings; FY2025 filed 2026-02-14 (accrued)</t>
        </is>
      </c>
    </row>
    <row r="23">
      <c r="A23" s="5" t="inlineStr">
        <is>
          <t>Other current liabilities</t>
        </is>
      </c>
      <c r="B23" s="8" t="n">
        <v>120</v>
      </c>
      <c r="C23" s="8" t="n">
        <v>120</v>
      </c>
      <c r="D23" s="8" t="n">
        <v>120</v>
      </c>
      <c r="E23" s="8" t="n">
        <v>120</v>
      </c>
      <c r="F23" s="8" t="n">
        <v>120</v>
      </c>
      <c r="G23" s="8" t="n">
        <v>120</v>
      </c>
      <c r="H23" s="8" t="n">
        <v>120</v>
      </c>
      <c r="I23" s="8" t="n">
        <v>120</v>
      </c>
      <c r="J23" s="8" t="n">
        <v>120</v>
      </c>
      <c r="K23" s="8" t="n">
        <v>120</v>
      </c>
      <c r="L23" s="7" t="inlineStr">
        <is>
          <t>FY2016-FY2025 10-K filings; FY2025 filed 2026-02-14 (other_cl)</t>
        </is>
      </c>
    </row>
    <row r="24">
      <c r="A24" s="5" t="inlineStr">
        <is>
          <t>Total debt</t>
        </is>
      </c>
      <c r="B24" s="8" t="n">
        <v>1850</v>
      </c>
      <c r="C24" s="8" t="n">
        <v>1800</v>
      </c>
      <c r="D24" s="8" t="n">
        <v>1750</v>
      </c>
      <c r="E24" s="8" t="n">
        <v>1700</v>
      </c>
      <c r="F24" s="8" t="n">
        <v>1780</v>
      </c>
      <c r="G24" s="8" t="n">
        <v>1700</v>
      </c>
      <c r="H24" s="8" t="n">
        <v>1620</v>
      </c>
      <c r="I24" s="8" t="n">
        <v>1540</v>
      </c>
      <c r="J24" s="8" t="n">
        <v>1460</v>
      </c>
      <c r="K24" s="8" t="n">
        <v>1380</v>
      </c>
      <c r="L24" s="7" t="inlineStr">
        <is>
          <t>FY2016-FY2025 10-K filings; FY2025 filed 2026-02-14 (debt)</t>
        </is>
      </c>
    </row>
    <row r="25">
      <c r="A25" s="5" t="inlineStr">
        <is>
          <t>Other long-term liabilities</t>
        </is>
      </c>
      <c r="B25" s="8" t="n">
        <v>180</v>
      </c>
      <c r="C25" s="8" t="n">
        <v>180</v>
      </c>
      <c r="D25" s="8" t="n">
        <v>180</v>
      </c>
      <c r="E25" s="8" t="n">
        <v>180</v>
      </c>
      <c r="F25" s="8" t="n">
        <v>180</v>
      </c>
      <c r="G25" s="8" t="n">
        <v>180</v>
      </c>
      <c r="H25" s="8" t="n">
        <v>180</v>
      </c>
      <c r="I25" s="8" t="n">
        <v>180</v>
      </c>
      <c r="J25" s="8" t="n">
        <v>180</v>
      </c>
      <c r="K25" s="8" t="n">
        <v>180</v>
      </c>
      <c r="L25" s="7" t="inlineStr">
        <is>
          <t>FY2016-FY2025 10-K filings; FY2025 filed 2026-02-14 (other_lt_liab)</t>
        </is>
      </c>
    </row>
    <row r="26">
      <c r="A26" s="5" t="inlineStr">
        <is>
          <t>Shareholders' equity</t>
        </is>
      </c>
      <c r="B26" s="8" t="n">
        <v>-280.8</v>
      </c>
      <c r="C26" s="8" t="n">
        <v>-64.09999999999999</v>
      </c>
      <c r="D26" s="8" t="n">
        <v>152.4</v>
      </c>
      <c r="E26" s="8" t="n">
        <v>365.1</v>
      </c>
      <c r="F26" s="8" t="n">
        <v>70.7</v>
      </c>
      <c r="G26" s="8" t="n">
        <v>512</v>
      </c>
      <c r="H26" s="8" t="n">
        <v>855.1</v>
      </c>
      <c r="I26" s="8" t="n">
        <v>1159.7</v>
      </c>
      <c r="J26" s="8" t="n">
        <v>1495.2</v>
      </c>
      <c r="K26" s="8" t="n">
        <v>1838.6</v>
      </c>
      <c r="L26" s="7" t="inlineStr">
        <is>
          <t>FY2016-FY2025 10-K filings; FY2025 filed 2026-02-14 (equity)</t>
        </is>
      </c>
    </row>
    <row r="27">
      <c r="A27" s="5" t="inlineStr">
        <is>
          <t>Total liabilities and equity</t>
        </is>
      </c>
      <c r="B27" s="12">
        <f>SUM(B21:B26)</f>
        <v/>
      </c>
      <c r="C27" s="12">
        <f>SUM(C21:C26)</f>
        <v/>
      </c>
      <c r="D27" s="12">
        <f>SUM(D21:D26)</f>
        <v/>
      </c>
      <c r="E27" s="12">
        <f>SUM(E21:E26)</f>
        <v/>
      </c>
      <c r="F27" s="12">
        <f>SUM(F21:F26)</f>
        <v/>
      </c>
      <c r="G27" s="12">
        <f>SUM(G21:G26)</f>
        <v/>
      </c>
      <c r="H27" s="12">
        <f>SUM(H21:H26)</f>
        <v/>
      </c>
      <c r="I27" s="12">
        <f>SUM(I21:I26)</f>
        <v/>
      </c>
      <c r="J27" s="12">
        <f>SUM(J21:J26)</f>
        <v/>
      </c>
      <c r="K27" s="12">
        <f>SUM(K21:K26)</f>
        <v/>
      </c>
    </row>
    <row r="28">
      <c r="A28" s="5" t="inlineStr">
        <is>
          <t>Balance check (assets − L&amp;E)</t>
        </is>
      </c>
      <c r="B28" s="11">
        <f>B19-B27</f>
        <v/>
      </c>
      <c r="C28" s="11">
        <f>C19-C27</f>
        <v/>
      </c>
      <c r="D28" s="11">
        <f>D19-D27</f>
        <v/>
      </c>
      <c r="E28" s="11">
        <f>E19-E27</f>
        <v/>
      </c>
      <c r="F28" s="11">
        <f>F19-F27</f>
        <v/>
      </c>
      <c r="G28" s="11">
        <f>G19-G27</f>
        <v/>
      </c>
      <c r="H28" s="11">
        <f>H19-H27</f>
        <v/>
      </c>
      <c r="I28" s="11">
        <f>I19-I27</f>
        <v/>
      </c>
      <c r="J28" s="11">
        <f>J19-J27</f>
        <v/>
      </c>
      <c r="K28" s="11">
        <f>K19-K27</f>
        <v/>
      </c>
    </row>
    <row r="29">
      <c r="A29" s="5" t="inlineStr">
        <is>
          <t>Net working capital (memo)</t>
        </is>
      </c>
      <c r="B29" s="11">
        <f>B14+B15+B16-B21-B22</f>
        <v/>
      </c>
      <c r="C29" s="11">
        <f>C14+C15+C16-C21-C22</f>
        <v/>
      </c>
      <c r="D29" s="11">
        <f>D14+D15+D16-D21-D22</f>
        <v/>
      </c>
      <c r="E29" s="11">
        <f>E14+E15+E16-E21-E22</f>
        <v/>
      </c>
      <c r="F29" s="11">
        <f>F14+F15+F16-F21-F22</f>
        <v/>
      </c>
      <c r="G29" s="11">
        <f>G14+G15+G16-G21-G22</f>
        <v/>
      </c>
      <c r="H29" s="11">
        <f>H14+H15+H16-H21-H22</f>
        <v/>
      </c>
      <c r="I29" s="11">
        <f>I14+I15+I16-I21-I22</f>
        <v/>
      </c>
      <c r="J29" s="11">
        <f>J14+J15+J16-J21-J22</f>
        <v/>
      </c>
      <c r="K29" s="11">
        <f>K14+K15+K16-K21-K22</f>
        <v/>
      </c>
    </row>
    <row r="35">
      <c r="A35" s="1" t="inlineStr">
        <is>
          <t>Income statement and cash flow, reported</t>
        </is>
      </c>
    </row>
    <row r="36">
      <c r="A36" s="5" t="inlineStr">
        <is>
          <t>Net income</t>
        </is>
      </c>
      <c r="B36" s="8" t="n">
        <v>210</v>
      </c>
      <c r="C36" s="8" t="n">
        <v>252.5</v>
      </c>
      <c r="D36" s="8" t="n">
        <v>292.9</v>
      </c>
      <c r="E36" s="8" t="n">
        <v>333.9</v>
      </c>
      <c r="F36" s="8" t="n">
        <v>202.2</v>
      </c>
      <c r="G36" s="8" t="n">
        <v>382.8</v>
      </c>
      <c r="H36" s="8" t="n">
        <v>456.8</v>
      </c>
      <c r="I36" s="8" t="n">
        <v>520.6</v>
      </c>
      <c r="J36" s="8" t="n">
        <v>590.1</v>
      </c>
      <c r="K36" s="8" t="n">
        <v>667</v>
      </c>
      <c r="L36" s="7" t="inlineStr">
        <is>
          <t>FY2016-FY2025 10-K filings; FY2025 filed 2026-02-14 (net_income)</t>
        </is>
      </c>
    </row>
    <row r="37">
      <c r="A37" s="5" t="inlineStr">
        <is>
          <t>Interest expense</t>
        </is>
      </c>
      <c r="B37" s="8" t="n">
        <v>101.8</v>
      </c>
      <c r="C37" s="8" t="n">
        <v>99</v>
      </c>
      <c r="D37" s="8" t="n">
        <v>96.2</v>
      </c>
      <c r="E37" s="8" t="n">
        <v>93.5</v>
      </c>
      <c r="F37" s="8" t="n">
        <v>97.90000000000001</v>
      </c>
      <c r="G37" s="8" t="n">
        <v>93.5</v>
      </c>
      <c r="H37" s="8" t="n">
        <v>89.09999999999999</v>
      </c>
      <c r="I37" s="8" t="n">
        <v>84.7</v>
      </c>
      <c r="J37" s="8" t="n">
        <v>80.3</v>
      </c>
      <c r="K37" s="8" t="n">
        <v>75.90000000000001</v>
      </c>
      <c r="L37" s="7" t="inlineStr">
        <is>
          <t>FY2016-FY2025 10-K filings; FY2025 filed 2026-02-14 (interest_expense)</t>
        </is>
      </c>
    </row>
    <row r="38">
      <c r="A38" s="5" t="inlineStr">
        <is>
          <t>Cash from operating activities</t>
        </is>
      </c>
      <c r="B38" s="8" t="n">
        <v>272.4</v>
      </c>
      <c r="C38" s="8" t="n">
        <v>321.1</v>
      </c>
      <c r="D38" s="8" t="n">
        <v>367.7</v>
      </c>
      <c r="E38" s="8" t="n">
        <v>414.8</v>
      </c>
      <c r="F38" s="8" t="n">
        <v>275</v>
      </c>
      <c r="G38" s="8" t="n">
        <v>469.2</v>
      </c>
      <c r="H38" s="8" t="n">
        <v>553.1</v>
      </c>
      <c r="I38" s="8" t="n">
        <v>625.3</v>
      </c>
      <c r="J38" s="8" t="n">
        <v>704.4</v>
      </c>
      <c r="K38" s="8" t="n">
        <v>791.1</v>
      </c>
      <c r="L38" s="7" t="inlineStr">
        <is>
          <t>FY2016-FY2025 10-K filings; FY2025 filed 2026-02-14 (cfo)</t>
        </is>
      </c>
    </row>
    <row r="40">
      <c r="A40" s="1" t="inlineStr">
        <is>
          <t>What 10 years of history says</t>
        </is>
      </c>
    </row>
    <row r="41">
      <c r="A41" s="5" t="inlineStr">
        <is>
          <t>Revenue CAGR over the period</t>
        </is>
      </c>
      <c r="B41" s="13">
        <f>((K4/B4)^(1/9))-1</f>
        <v/>
      </c>
      <c r="C41" s="7" t="inlineStr">
        <is>
          <t>Compare with the projected growth on INPUTS</t>
        </is>
      </c>
    </row>
    <row r="42">
      <c r="A42" s="5" t="inlineStr">
        <is>
          <t>Gross margin — average</t>
        </is>
      </c>
      <c r="B42" s="13">
        <f>AVERAGE(B6:K6)/AVERAGE(B4:K4)</f>
        <v/>
      </c>
    </row>
    <row r="43">
      <c r="A43" s="5" t="inlineStr">
        <is>
          <t>EBITDA margin — average</t>
        </is>
      </c>
      <c r="B43" s="13">
        <f>AVERAGE(B8:K8)/AVERAGE(B4:K4)</f>
        <v/>
      </c>
    </row>
    <row r="44">
      <c r="A44" s="5" t="inlineStr">
        <is>
          <t>EBITDA margin — worst year</t>
        </is>
      </c>
      <c r="B44" s="13">
        <f>MIN(B8:K8/B4:K4)</f>
        <v/>
      </c>
      <c r="C44" s="7" t="inlineStr">
        <is>
          <t>The trough the forecast should be tested against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INCOME STATEMENT — forecast</t>
        </is>
      </c>
    </row>
    <row r="2">
      <c r="A2" s="3" t="inlineStr">
        <is>
          <t>Interest is charged on opening balances, which is why no cell here refers to this year's closing debt.</t>
        </is>
      </c>
    </row>
    <row r="3">
      <c r="A3" s="4" t="inlineStr">
        <is>
          <t>Line item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  <c r="G3" s="4" t="inlineStr">
        <is>
          <t>2031</t>
        </is>
      </c>
      <c r="H3" s="4" t="inlineStr">
        <is>
          <t>2032</t>
        </is>
      </c>
    </row>
    <row r="4">
      <c r="A4" s="5" t="inlineStr">
        <is>
          <t>Revenue</t>
        </is>
      </c>
      <c r="B4" s="11">
        <f>HISTORICALS!$K$4*(1+INPUTS!B$13)</f>
        <v/>
      </c>
      <c r="C4" s="11">
        <f>B4*(1+INPUTS!C$13)</f>
        <v/>
      </c>
      <c r="D4" s="11">
        <f>C4*(1+INPUTS!D$13)</f>
        <v/>
      </c>
      <c r="E4" s="11">
        <f>D4*(1+INPUTS!E$13)</f>
        <v/>
      </c>
      <c r="F4" s="11">
        <f>E4*(1+INPUTS!F$13)</f>
        <v/>
      </c>
      <c r="G4" s="11">
        <f>F4*(1+INPUTS!G$13)</f>
        <v/>
      </c>
      <c r="H4" s="11">
        <f>G4*(1+INPUTS!H$13)</f>
        <v/>
      </c>
    </row>
    <row r="5">
      <c r="A5" s="5" t="inlineStr">
        <is>
          <t>Cost of goods sold</t>
        </is>
      </c>
      <c r="B5" s="11">
        <f>B4*(1-INPUTS!B$14)</f>
        <v/>
      </c>
      <c r="C5" s="11">
        <f>C4*(1-INPUTS!C$14)</f>
        <v/>
      </c>
      <c r="D5" s="11">
        <f>D4*(1-INPUTS!D$14)</f>
        <v/>
      </c>
      <c r="E5" s="11">
        <f>E4*(1-INPUTS!E$14)</f>
        <v/>
      </c>
      <c r="F5" s="11">
        <f>F4*(1-INPUTS!F$14)</f>
        <v/>
      </c>
      <c r="G5" s="11">
        <f>G4*(1-INPUTS!G$14)</f>
        <v/>
      </c>
      <c r="H5" s="11">
        <f>H4*(1-INPUTS!H$14)</f>
        <v/>
      </c>
    </row>
    <row r="6">
      <c r="A6" s="5" t="inlineStr">
        <is>
          <t>Gross profit</t>
        </is>
      </c>
      <c r="B6" s="11">
        <f>B4-B5</f>
        <v/>
      </c>
      <c r="C6" s="11">
        <f>C4-C5</f>
        <v/>
      </c>
      <c r="D6" s="11">
        <f>D4-D5</f>
        <v/>
      </c>
      <c r="E6" s="11">
        <f>E4-E5</f>
        <v/>
      </c>
      <c r="F6" s="11">
        <f>F4-F5</f>
        <v/>
      </c>
      <c r="G6" s="11">
        <f>G4-G5</f>
        <v/>
      </c>
      <c r="H6" s="11">
        <f>H4-H5</f>
        <v/>
      </c>
    </row>
    <row r="7">
      <c r="A7" s="5" t="inlineStr">
        <is>
          <t>SG&amp;A</t>
        </is>
      </c>
      <c r="B7" s="11">
        <f>B4*INPUTS!B$15</f>
        <v/>
      </c>
      <c r="C7" s="11">
        <f>C4*INPUTS!C$15</f>
        <v/>
      </c>
      <c r="D7" s="11">
        <f>D4*INPUTS!D$15</f>
        <v/>
      </c>
      <c r="E7" s="11">
        <f>E4*INPUTS!E$15</f>
        <v/>
      </c>
      <c r="F7" s="11">
        <f>F4*INPUTS!F$15</f>
        <v/>
      </c>
      <c r="G7" s="11">
        <f>G4*INPUTS!G$15</f>
        <v/>
      </c>
      <c r="H7" s="11">
        <f>H4*INPUTS!H$15</f>
        <v/>
      </c>
    </row>
    <row r="8">
      <c r="A8" s="5" t="inlineStr">
        <is>
          <t>EBITDA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  <c r="G8" s="14">
        <f>G6-G7</f>
        <v/>
      </c>
      <c r="H8" s="14">
        <f>H6-H7</f>
        <v/>
      </c>
    </row>
    <row r="9">
      <c r="A9" s="5" t="inlineStr">
        <is>
          <t>D&amp;A</t>
        </is>
      </c>
      <c r="B9" s="11">
        <f>B4*INPUTS!B$16</f>
        <v/>
      </c>
      <c r="C9" s="11">
        <f>C4*INPUTS!C$16</f>
        <v/>
      </c>
      <c r="D9" s="11">
        <f>D4*INPUTS!D$16</f>
        <v/>
      </c>
      <c r="E9" s="11">
        <f>E4*INPUTS!E$16</f>
        <v/>
      </c>
      <c r="F9" s="11">
        <f>F4*INPUTS!F$16</f>
        <v/>
      </c>
      <c r="G9" s="11">
        <f>G4*INPUTS!G$16</f>
        <v/>
      </c>
      <c r="H9" s="11">
        <f>H4*INPUTS!H$16</f>
        <v/>
      </c>
    </row>
    <row r="10">
      <c r="A10" s="5" t="inlineStr">
        <is>
          <t>EBIT</t>
        </is>
      </c>
      <c r="B10" s="11">
        <f>B8-B9</f>
        <v/>
      </c>
      <c r="C10" s="11">
        <f>C8-C9</f>
        <v/>
      </c>
      <c r="D10" s="11">
        <f>D8-D9</f>
        <v/>
      </c>
      <c r="E10" s="11">
        <f>E8-E9</f>
        <v/>
      </c>
      <c r="F10" s="11">
        <f>F8-F9</f>
        <v/>
      </c>
      <c r="G10" s="11">
        <f>G8-G9</f>
        <v/>
      </c>
      <c r="H10" s="11">
        <f>H8-H9</f>
        <v/>
      </c>
    </row>
    <row r="11">
      <c r="A11" s="5" t="inlineStr">
        <is>
          <t>Interest expense</t>
        </is>
      </c>
      <c r="B11" s="11">
        <f>HISTORICALS!$K$24*INPUTS!$B$5+INPUTS!$B$10*INPUTS!$B$6</f>
        <v/>
      </c>
      <c r="C11" s="11">
        <f>BALANCE!B15*INPUTS!$B$5+BALANCE!B16*INPUTS!$B$6</f>
        <v/>
      </c>
      <c r="D11" s="11">
        <f>BALANCE!C15*INPUTS!$B$5+BALANCE!C16*INPUTS!$B$6</f>
        <v/>
      </c>
      <c r="E11" s="11">
        <f>BALANCE!D15*INPUTS!$B$5+BALANCE!D16*INPUTS!$B$6</f>
        <v/>
      </c>
      <c r="F11" s="11">
        <f>BALANCE!E15*INPUTS!$B$5+BALANCE!E16*INPUTS!$B$6</f>
        <v/>
      </c>
      <c r="G11" s="11">
        <f>BALANCE!F15*INPUTS!$B$5+BALANCE!F16*INPUTS!$B$6</f>
        <v/>
      </c>
      <c r="H11" s="11">
        <f>BALANCE!G15*INPUTS!$B$5+BALANCE!G16*INPUTS!$B$6</f>
        <v/>
      </c>
    </row>
    <row r="12">
      <c r="A12" s="5" t="inlineStr">
        <is>
          <t>Interest income</t>
        </is>
      </c>
      <c r="B12" s="11">
        <f>HISTORICALS!$K$13*INPUTS!$B$7</f>
        <v/>
      </c>
      <c r="C12" s="11">
        <f>BALANCE!B4*INPUTS!$B$7</f>
        <v/>
      </c>
      <c r="D12" s="11">
        <f>BALANCE!C4*INPUTS!$B$7</f>
        <v/>
      </c>
      <c r="E12" s="11">
        <f>BALANCE!D4*INPUTS!$B$7</f>
        <v/>
      </c>
      <c r="F12" s="11">
        <f>BALANCE!E4*INPUTS!$B$7</f>
        <v/>
      </c>
      <c r="G12" s="11">
        <f>BALANCE!F4*INPUTS!$B$7</f>
        <v/>
      </c>
      <c r="H12" s="11">
        <f>BALANCE!G4*INPUTS!$B$7</f>
        <v/>
      </c>
    </row>
    <row r="13">
      <c r="A13" s="5" t="inlineStr">
        <is>
          <t>Profit before tax</t>
        </is>
      </c>
      <c r="B13" s="11">
        <f>B10-B11+B12</f>
        <v/>
      </c>
      <c r="C13" s="11">
        <f>C10-C11+C12</f>
        <v/>
      </c>
      <c r="D13" s="11">
        <f>D10-D11+D12</f>
        <v/>
      </c>
      <c r="E13" s="11">
        <f>E10-E11+E12</f>
        <v/>
      </c>
      <c r="F13" s="11">
        <f>F10-F11+F12</f>
        <v/>
      </c>
      <c r="G13" s="11">
        <f>G10-G11+G12</f>
        <v/>
      </c>
      <c r="H13" s="11">
        <f>H10-H11+H12</f>
        <v/>
      </c>
    </row>
    <row r="14">
      <c r="A14" s="5" t="inlineStr">
        <is>
          <t>Tax</t>
        </is>
      </c>
      <c r="B14" s="11">
        <f>MAX(B13,0)*INPUTS!$B$4</f>
        <v/>
      </c>
      <c r="C14" s="11">
        <f>MAX(C13,0)*INPUTS!$B$4</f>
        <v/>
      </c>
      <c r="D14" s="11">
        <f>MAX(D13,0)*INPUTS!$B$4</f>
        <v/>
      </c>
      <c r="E14" s="11">
        <f>MAX(E13,0)*INPUTS!$B$4</f>
        <v/>
      </c>
      <c r="F14" s="11">
        <f>MAX(F13,0)*INPUTS!$B$4</f>
        <v/>
      </c>
      <c r="G14" s="11">
        <f>MAX(G13,0)*INPUTS!$B$4</f>
        <v/>
      </c>
      <c r="H14" s="11">
        <f>MAX(H13,0)*INPUTS!$B$4</f>
        <v/>
      </c>
    </row>
    <row r="15">
      <c r="A15" s="5" t="inlineStr">
        <is>
          <t>Net income</t>
        </is>
      </c>
      <c r="B15" s="14">
        <f>B13-B14</f>
        <v/>
      </c>
      <c r="C15" s="14">
        <f>C13-C14</f>
        <v/>
      </c>
      <c r="D15" s="14">
        <f>D13-D14</f>
        <v/>
      </c>
      <c r="E15" s="14">
        <f>E13-E14</f>
        <v/>
      </c>
      <c r="F15" s="14">
        <f>F13-F14</f>
        <v/>
      </c>
      <c r="G15" s="14">
        <f>G13-G14</f>
        <v/>
      </c>
      <c r="H15" s="14">
        <f>H13-H14</f>
        <v/>
      </c>
    </row>
    <row r="16">
      <c r="A16" s="5" t="inlineStr">
        <is>
          <t>Dividends declared</t>
        </is>
      </c>
      <c r="B16" s="11">
        <f>MAX(B15,0)*INPUTS!$B$9</f>
        <v/>
      </c>
      <c r="C16" s="11">
        <f>MAX(C15,0)*INPUTS!$B$9</f>
        <v/>
      </c>
      <c r="D16" s="11">
        <f>MAX(D15,0)*INPUTS!$B$9</f>
        <v/>
      </c>
      <c r="E16" s="11">
        <f>MAX(E15,0)*INPUTS!$B$9</f>
        <v/>
      </c>
      <c r="F16" s="11">
        <f>MAX(F15,0)*INPUTS!$B$9</f>
        <v/>
      </c>
      <c r="G16" s="11">
        <f>MAX(G15,0)*INPUTS!$B$9</f>
        <v/>
      </c>
      <c r="H16" s="11">
        <f>MAX(H15,0)*INPUTS!$B$9</f>
        <v/>
      </c>
    </row>
    <row r="17">
      <c r="A17" s="5" t="inlineStr">
        <is>
          <t>Retained earnings</t>
        </is>
      </c>
      <c r="B17" s="11">
        <f>B15-B16</f>
        <v/>
      </c>
      <c r="C17" s="11">
        <f>C15-C16</f>
        <v/>
      </c>
      <c r="D17" s="11">
        <f>D15-D16</f>
        <v/>
      </c>
      <c r="E17" s="11">
        <f>E15-E16</f>
        <v/>
      </c>
      <c r="F17" s="11">
        <f>F15-F16</f>
        <v/>
      </c>
      <c r="G17" s="11">
        <f>G15-G16</f>
        <v/>
      </c>
      <c r="H17" s="11">
        <f>H15-H16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BALANCE SHEET — forecast</t>
        </is>
      </c>
    </row>
    <row r="2">
      <c r="A2" s="3" t="inlineStr">
        <is>
          <t>Other assets and other liabilities are held flat from the last reported balance sheet; they are not forecast.</t>
        </is>
      </c>
    </row>
    <row r="3">
      <c r="A3" s="4" t="inlineStr">
        <is>
          <t>Line item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  <c r="G3" s="4" t="inlineStr">
        <is>
          <t>2031</t>
        </is>
      </c>
      <c r="H3" s="4" t="inlineStr">
        <is>
          <t>2032</t>
        </is>
      </c>
    </row>
    <row r="4">
      <c r="A4" s="5" t="inlineStr">
        <is>
          <t>Cash and equivalents</t>
        </is>
      </c>
      <c r="B4" s="11">
        <f>CASHFLOW!B18</f>
        <v/>
      </c>
      <c r="C4" s="11">
        <f>CASHFLOW!C18</f>
        <v/>
      </c>
      <c r="D4" s="11">
        <f>CASHFLOW!D18</f>
        <v/>
      </c>
      <c r="E4" s="11">
        <f>CASHFLOW!E18</f>
        <v/>
      </c>
      <c r="F4" s="11">
        <f>CASHFLOW!F18</f>
        <v/>
      </c>
      <c r="G4" s="11">
        <f>CASHFLOW!G18</f>
        <v/>
      </c>
      <c r="H4" s="11">
        <f>CASHFLOW!H18</f>
        <v/>
      </c>
    </row>
    <row r="5">
      <c r="A5" s="5" t="inlineStr">
        <is>
          <t>Accounts receivable</t>
        </is>
      </c>
      <c r="B5" s="11">
        <f>INCOME!B4/365*INPUTS!B$18</f>
        <v/>
      </c>
      <c r="C5" s="11">
        <f>INCOME!C4/365*INPUTS!C$18</f>
        <v/>
      </c>
      <c r="D5" s="11">
        <f>INCOME!D4/365*INPUTS!D$18</f>
        <v/>
      </c>
      <c r="E5" s="11">
        <f>INCOME!E4/365*INPUTS!E$18</f>
        <v/>
      </c>
      <c r="F5" s="11">
        <f>INCOME!F4/365*INPUTS!F$18</f>
        <v/>
      </c>
      <c r="G5" s="11">
        <f>INCOME!G4/365*INPUTS!G$18</f>
        <v/>
      </c>
      <c r="H5" s="11">
        <f>INCOME!H4/365*INPUTS!H$18</f>
        <v/>
      </c>
    </row>
    <row r="6">
      <c r="A6" s="5" t="inlineStr">
        <is>
          <t>Inventory</t>
        </is>
      </c>
      <c r="B6" s="11">
        <f>INCOME!B5/365*INPUTS!B$19</f>
        <v/>
      </c>
      <c r="C6" s="11">
        <f>INCOME!C5/365*INPUTS!C$19</f>
        <v/>
      </c>
      <c r="D6" s="11">
        <f>INCOME!D5/365*INPUTS!D$19</f>
        <v/>
      </c>
      <c r="E6" s="11">
        <f>INCOME!E5/365*INPUTS!E$19</f>
        <v/>
      </c>
      <c r="F6" s="11">
        <f>INCOME!F5/365*INPUTS!F$19</f>
        <v/>
      </c>
      <c r="G6" s="11">
        <f>INCOME!G5/365*INPUTS!G$19</f>
        <v/>
      </c>
      <c r="H6" s="11">
        <f>INCOME!H5/365*INPUTS!H$19</f>
        <v/>
      </c>
    </row>
    <row r="7">
      <c r="A7" s="5" t="inlineStr">
        <is>
          <t>Other current assets</t>
        </is>
      </c>
      <c r="B7" s="11">
        <f>INCOME!B4*INPUTS!B$21</f>
        <v/>
      </c>
      <c r="C7" s="11">
        <f>INCOME!C4*INPUTS!C$21</f>
        <v/>
      </c>
      <c r="D7" s="11">
        <f>INCOME!D4*INPUTS!D$21</f>
        <v/>
      </c>
      <c r="E7" s="11">
        <f>INCOME!E4*INPUTS!E$21</f>
        <v/>
      </c>
      <c r="F7" s="11">
        <f>INCOME!F4*INPUTS!F$21</f>
        <v/>
      </c>
      <c r="G7" s="11">
        <f>INCOME!G4*INPUTS!G$21</f>
        <v/>
      </c>
      <c r="H7" s="11">
        <f>INCOME!H4*INPUTS!H$21</f>
        <v/>
      </c>
    </row>
    <row r="8">
      <c r="A8" s="5" t="inlineStr">
        <is>
          <t>Net PP&amp;E</t>
        </is>
      </c>
      <c r="B8" s="11">
        <f>HISTORICALS!$K$17-CASHFLOW!B8-INCOME!B9</f>
        <v/>
      </c>
      <c r="C8" s="11">
        <f>B8-CASHFLOW!C8-INCOME!C9</f>
        <v/>
      </c>
      <c r="D8" s="11">
        <f>C8-CASHFLOW!D8-INCOME!D9</f>
        <v/>
      </c>
      <c r="E8" s="11">
        <f>D8-CASHFLOW!E8-INCOME!E9</f>
        <v/>
      </c>
      <c r="F8" s="11">
        <f>E8-CASHFLOW!F8-INCOME!F9</f>
        <v/>
      </c>
      <c r="G8" s="11">
        <f>F8-CASHFLOW!G8-INCOME!G9</f>
        <v/>
      </c>
      <c r="H8" s="11">
        <f>G8-CASHFLOW!H8-INCOME!H9</f>
        <v/>
      </c>
    </row>
    <row r="9">
      <c r="A9" s="5" t="inlineStr">
        <is>
          <t>Other assets (held flat)</t>
        </is>
      </c>
      <c r="B9" s="11">
        <f>HISTORICALS!$K$18</f>
        <v/>
      </c>
      <c r="C9" s="11">
        <f>HISTORICALS!$K$18</f>
        <v/>
      </c>
      <c r="D9" s="11">
        <f>HISTORICALS!$K$18</f>
        <v/>
      </c>
      <c r="E9" s="11">
        <f>HISTORICALS!$K$18</f>
        <v/>
      </c>
      <c r="F9" s="11">
        <f>HISTORICALS!$K$18</f>
        <v/>
      </c>
      <c r="G9" s="11">
        <f>HISTORICALS!$K$18</f>
        <v/>
      </c>
      <c r="H9" s="11">
        <f>HISTORICALS!$K$18</f>
        <v/>
      </c>
    </row>
    <row r="10">
      <c r="A10" s="5" t="inlineStr">
        <is>
          <t>Total assets</t>
        </is>
      </c>
      <c r="B10" s="12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2">
        <f>SUM(F4:F9)</f>
        <v/>
      </c>
      <c r="G10" s="12">
        <f>SUM(G4:G9)</f>
        <v/>
      </c>
      <c r="H10" s="12">
        <f>SUM(H4:H9)</f>
        <v/>
      </c>
    </row>
    <row r="12">
      <c r="A12" s="5" t="inlineStr">
        <is>
          <t>Accounts payable</t>
        </is>
      </c>
      <c r="B12" s="11">
        <f>INCOME!B5/365*INPUTS!B$20</f>
        <v/>
      </c>
      <c r="C12" s="11">
        <f>INCOME!C5/365*INPUTS!C$20</f>
        <v/>
      </c>
      <c r="D12" s="11">
        <f>INCOME!D5/365*INPUTS!D$20</f>
        <v/>
      </c>
      <c r="E12" s="11">
        <f>INCOME!E5/365*INPUTS!E$20</f>
        <v/>
      </c>
      <c r="F12" s="11">
        <f>INCOME!F5/365*INPUTS!F$20</f>
        <v/>
      </c>
      <c r="G12" s="11">
        <f>INCOME!G5/365*INPUTS!G$20</f>
        <v/>
      </c>
      <c r="H12" s="11">
        <f>INCOME!H5/365*INPUTS!H$20</f>
        <v/>
      </c>
    </row>
    <row r="13">
      <c r="A13" s="5" t="inlineStr">
        <is>
          <t>Accrued liabilities</t>
        </is>
      </c>
      <c r="B13" s="11">
        <f>INCOME!B4*INPUTS!B$22</f>
        <v/>
      </c>
      <c r="C13" s="11">
        <f>INCOME!C4*INPUTS!C$22</f>
        <v/>
      </c>
      <c r="D13" s="11">
        <f>INCOME!D4*INPUTS!D$22</f>
        <v/>
      </c>
      <c r="E13" s="11">
        <f>INCOME!E4*INPUTS!E$22</f>
        <v/>
      </c>
      <c r="F13" s="11">
        <f>INCOME!F4*INPUTS!F$22</f>
        <v/>
      </c>
      <c r="G13" s="11">
        <f>INCOME!G4*INPUTS!G$22</f>
        <v/>
      </c>
      <c r="H13" s="11">
        <f>INCOME!H4*INPUTS!H$22</f>
        <v/>
      </c>
    </row>
    <row r="14">
      <c r="A14" s="5" t="inlineStr">
        <is>
          <t>Other current liabilities (held flat)</t>
        </is>
      </c>
      <c r="B14" s="11">
        <f>HISTORICALS!$K$23</f>
        <v/>
      </c>
      <c r="C14" s="11">
        <f>HISTORICALS!$K$23</f>
        <v/>
      </c>
      <c r="D14" s="11">
        <f>HISTORICALS!$K$23</f>
        <v/>
      </c>
      <c r="E14" s="11">
        <f>HISTORICALS!$K$23</f>
        <v/>
      </c>
      <c r="F14" s="11">
        <f>HISTORICALS!$K$23</f>
        <v/>
      </c>
      <c r="G14" s="11">
        <f>HISTORICALS!$K$23</f>
        <v/>
      </c>
      <c r="H14" s="11">
        <f>HISTORICALS!$K$23</f>
        <v/>
      </c>
    </row>
    <row r="15">
      <c r="A15" s="5" t="inlineStr">
        <is>
          <t>Term debt</t>
        </is>
      </c>
      <c r="B15" s="11">
        <f>HISTORICALS!$K$24+CASHFLOW!B10</f>
        <v/>
      </c>
      <c r="C15" s="11">
        <f>B15+CASHFLOW!C10</f>
        <v/>
      </c>
      <c r="D15" s="11">
        <f>C15+CASHFLOW!D10</f>
        <v/>
      </c>
      <c r="E15" s="11">
        <f>D15+CASHFLOW!E10</f>
        <v/>
      </c>
      <c r="F15" s="11">
        <f>E15+CASHFLOW!F10</f>
        <v/>
      </c>
      <c r="G15" s="11">
        <f>F15+CASHFLOW!G10</f>
        <v/>
      </c>
      <c r="H15" s="11">
        <f>G15+CASHFLOW!H10</f>
        <v/>
      </c>
    </row>
    <row r="16">
      <c r="A16" s="5" t="inlineStr">
        <is>
          <t>Revolver</t>
        </is>
      </c>
      <c r="B16" s="11">
        <f>INPUTS!$B$10+CASHFLOW!B14+CASHFLOW!B15</f>
        <v/>
      </c>
      <c r="C16" s="11">
        <f>B16+CASHFLOW!C14+CASHFLOW!C15</f>
        <v/>
      </c>
      <c r="D16" s="11">
        <f>C16+CASHFLOW!D14+CASHFLOW!D15</f>
        <v/>
      </c>
      <c r="E16" s="11">
        <f>D16+CASHFLOW!E14+CASHFLOW!E15</f>
        <v/>
      </c>
      <c r="F16" s="11">
        <f>E16+CASHFLOW!F14+CASHFLOW!F15</f>
        <v/>
      </c>
      <c r="G16" s="11">
        <f>F16+CASHFLOW!G14+CASHFLOW!G15</f>
        <v/>
      </c>
      <c r="H16" s="11">
        <f>G16+CASHFLOW!H14+CASHFLOW!H15</f>
        <v/>
      </c>
    </row>
    <row r="17">
      <c r="A17" s="5" t="inlineStr">
        <is>
          <t>Other long-term liabilities (held flat)</t>
        </is>
      </c>
      <c r="B17" s="11">
        <f>HISTORICALS!$K$25</f>
        <v/>
      </c>
      <c r="C17" s="11">
        <f>HISTORICALS!$K$25</f>
        <v/>
      </c>
      <c r="D17" s="11">
        <f>HISTORICALS!$K$25</f>
        <v/>
      </c>
      <c r="E17" s="11">
        <f>HISTORICALS!$K$25</f>
        <v/>
      </c>
      <c r="F17" s="11">
        <f>HISTORICALS!$K$25</f>
        <v/>
      </c>
      <c r="G17" s="11">
        <f>HISTORICALS!$K$25</f>
        <v/>
      </c>
      <c r="H17" s="11">
        <f>HISTORICALS!$K$25</f>
        <v/>
      </c>
    </row>
    <row r="18">
      <c r="A18" s="5" t="inlineStr">
        <is>
          <t>Shareholders' equity</t>
        </is>
      </c>
      <c r="B18" s="11">
        <f>HISTORICALS!$K$26+INCOME!B17</f>
        <v/>
      </c>
      <c r="C18" s="11">
        <f>B18+INCOME!C17</f>
        <v/>
      </c>
      <c r="D18" s="11">
        <f>C18+INCOME!D17</f>
        <v/>
      </c>
      <c r="E18" s="11">
        <f>D18+INCOME!E17</f>
        <v/>
      </c>
      <c r="F18" s="11">
        <f>E18+INCOME!F17</f>
        <v/>
      </c>
      <c r="G18" s="11">
        <f>F18+INCOME!G17</f>
        <v/>
      </c>
      <c r="H18" s="11">
        <f>G18+INCOME!H17</f>
        <v/>
      </c>
    </row>
    <row r="19">
      <c r="A19" s="5" t="inlineStr">
        <is>
          <t>Total liabilities and equity</t>
        </is>
      </c>
      <c r="B19" s="12">
        <f>SUM(B12:B18)</f>
        <v/>
      </c>
      <c r="C19" s="12">
        <f>SUM(C12:C18)</f>
        <v/>
      </c>
      <c r="D19" s="12">
        <f>SUM(D12:D18)</f>
        <v/>
      </c>
      <c r="E19" s="12">
        <f>SUM(E12:E18)</f>
        <v/>
      </c>
      <c r="F19" s="12">
        <f>SUM(F12:F18)</f>
        <v/>
      </c>
      <c r="G19" s="12">
        <f>SUM(G12:G18)</f>
        <v/>
      </c>
      <c r="H19" s="12">
        <f>SUM(H12:H18)</f>
        <v/>
      </c>
    </row>
    <row r="21">
      <c r="A21" s="5" t="inlineStr">
        <is>
          <t>Balance check (assets − L&amp;E)</t>
        </is>
      </c>
      <c r="B21" s="14">
        <f>B10-B19</f>
        <v/>
      </c>
      <c r="C21" s="14">
        <f>C10-C19</f>
        <v/>
      </c>
      <c r="D21" s="14">
        <f>D10-D19</f>
        <v/>
      </c>
      <c r="E21" s="14">
        <f>E10-E19</f>
        <v/>
      </c>
      <c r="F21" s="14">
        <f>F10-F19</f>
        <v/>
      </c>
      <c r="G21" s="14">
        <f>G10-G19</f>
        <v/>
      </c>
      <c r="H21" s="14">
        <f>H10-H19</f>
        <v/>
      </c>
    </row>
    <row r="23">
      <c r="A23" s="5" t="inlineStr">
        <is>
          <t>Net working capital (memo)</t>
        </is>
      </c>
      <c r="B23" s="11">
        <f>B5+B6+B7-B12-B13</f>
        <v/>
      </c>
      <c r="C23" s="11">
        <f>C5+C6+C7-C12-C13</f>
        <v/>
      </c>
      <c r="D23" s="11">
        <f>D5+D6+D7-D12-D13</f>
        <v/>
      </c>
      <c r="E23" s="11">
        <f>E5+E6+E7-E12-E13</f>
        <v/>
      </c>
      <c r="F23" s="11">
        <f>F5+F6+F7-F12-F13</f>
        <v/>
      </c>
      <c r="G23" s="11">
        <f>G5+G6+G7-G12-G13</f>
        <v/>
      </c>
      <c r="H23" s="11">
        <f>H5+H6+H7-H12-H13</f>
        <v/>
      </c>
    </row>
    <row r="24">
      <c r="A24" s="5" t="inlineStr">
        <is>
          <t>Net debt (memo)</t>
        </is>
      </c>
      <c r="B24" s="11">
        <f>B15+B16-B4</f>
        <v/>
      </c>
      <c r="C24" s="11">
        <f>C15+C16-C4</f>
        <v/>
      </c>
      <c r="D24" s="11">
        <f>D15+D16-D4</f>
        <v/>
      </c>
      <c r="E24" s="11">
        <f>E15+E16-E4</f>
        <v/>
      </c>
      <c r="F24" s="11">
        <f>F15+F16-F4</f>
        <v/>
      </c>
      <c r="G24" s="11">
        <f>G15+G16-G4</f>
        <v/>
      </c>
      <c r="H24" s="11">
        <f>H15+H16-H4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CASH FLOW STATEMENT — forecast</t>
        </is>
      </c>
    </row>
    <row r="2">
      <c r="A2" s="3" t="inlineStr">
        <is>
          <t>The revolver is the plug: it draws to hold the minimum cash balance and sweeps surplus cash to repay itself.</t>
        </is>
      </c>
    </row>
    <row r="3">
      <c r="A3" s="4" t="inlineStr">
        <is>
          <t>Line item</t>
        </is>
      </c>
      <c r="B3" s="4" t="inlineStr">
        <is>
          <t>2026</t>
        </is>
      </c>
      <c r="C3" s="4" t="inlineStr">
        <is>
          <t>2027</t>
        </is>
      </c>
      <c r="D3" s="4" t="inlineStr">
        <is>
          <t>2028</t>
        </is>
      </c>
      <c r="E3" s="4" t="inlineStr">
        <is>
          <t>2029</t>
        </is>
      </c>
      <c r="F3" s="4" t="inlineStr">
        <is>
          <t>2030</t>
        </is>
      </c>
      <c r="G3" s="4" t="inlineStr">
        <is>
          <t>2031</t>
        </is>
      </c>
      <c r="H3" s="4" t="inlineStr">
        <is>
          <t>2032</t>
        </is>
      </c>
    </row>
    <row r="4">
      <c r="A4" s="5" t="inlineStr">
        <is>
          <t>Net income</t>
        </is>
      </c>
      <c r="B4" s="11">
        <f>INCOME!B15</f>
        <v/>
      </c>
      <c r="C4" s="11">
        <f>INCOME!C15</f>
        <v/>
      </c>
      <c r="D4" s="11">
        <f>INCOME!D15</f>
        <v/>
      </c>
      <c r="E4" s="11">
        <f>INCOME!E15</f>
        <v/>
      </c>
      <c r="F4" s="11">
        <f>INCOME!F15</f>
        <v/>
      </c>
      <c r="G4" s="11">
        <f>INCOME!G15</f>
        <v/>
      </c>
      <c r="H4" s="11">
        <f>INCOME!H15</f>
        <v/>
      </c>
    </row>
    <row r="5">
      <c r="A5" s="5" t="inlineStr">
        <is>
          <t>Add back: D&amp;A</t>
        </is>
      </c>
      <c r="B5" s="11">
        <f>INCOME!B9</f>
        <v/>
      </c>
      <c r="C5" s="11">
        <f>INCOME!C9</f>
        <v/>
      </c>
      <c r="D5" s="11">
        <f>INCOME!D9</f>
        <v/>
      </c>
      <c r="E5" s="11">
        <f>INCOME!E9</f>
        <v/>
      </c>
      <c r="F5" s="11">
        <f>INCOME!F9</f>
        <v/>
      </c>
      <c r="G5" s="11">
        <f>INCOME!G9</f>
        <v/>
      </c>
      <c r="H5" s="11">
        <f>INCOME!H9</f>
        <v/>
      </c>
    </row>
    <row r="6">
      <c r="A6" s="5" t="inlineStr">
        <is>
          <t>Change in working capital</t>
        </is>
      </c>
      <c r="B6" s="11">
        <f>-(BALANCE!B23-HISTORICALS!$K$29)</f>
        <v/>
      </c>
      <c r="C6" s="11">
        <f>-(BALANCE!C23-BALANCE!B23)</f>
        <v/>
      </c>
      <c r="D6" s="11">
        <f>-(BALANCE!D23-BALANCE!C23)</f>
        <v/>
      </c>
      <c r="E6" s="11">
        <f>-(BALANCE!E23-BALANCE!D23)</f>
        <v/>
      </c>
      <c r="F6" s="11">
        <f>-(BALANCE!F23-BALANCE!E23)</f>
        <v/>
      </c>
      <c r="G6" s="11">
        <f>-(BALANCE!G23-BALANCE!F23)</f>
        <v/>
      </c>
      <c r="H6" s="11">
        <f>-(BALANCE!H23-BALANCE!G23)</f>
        <v/>
      </c>
    </row>
    <row r="7">
      <c r="A7" s="5" t="inlineStr">
        <is>
          <t>Cash from operations</t>
        </is>
      </c>
      <c r="B7" s="14">
        <f>B4+B5+B6</f>
        <v/>
      </c>
      <c r="C7" s="14">
        <f>C4+C5+C6</f>
        <v/>
      </c>
      <c r="D7" s="14">
        <f>D4+D5+D6</f>
        <v/>
      </c>
      <c r="E7" s="14">
        <f>E4+E5+E6</f>
        <v/>
      </c>
      <c r="F7" s="14">
        <f>F4+F5+F6</f>
        <v/>
      </c>
      <c r="G7" s="14">
        <f>G4+G5+G6</f>
        <v/>
      </c>
      <c r="H7" s="14">
        <f>H4+H5+H6</f>
        <v/>
      </c>
    </row>
    <row r="8">
      <c r="A8" s="5" t="inlineStr">
        <is>
          <t>Capex</t>
        </is>
      </c>
      <c r="B8" s="11">
        <f>-INCOME!B4*INPUTS!B$17</f>
        <v/>
      </c>
      <c r="C8" s="11">
        <f>-INCOME!C4*INPUTS!C$17</f>
        <v/>
      </c>
      <c r="D8" s="11">
        <f>-INCOME!D4*INPUTS!D$17</f>
        <v/>
      </c>
      <c r="E8" s="11">
        <f>-INCOME!E4*INPUTS!E$17</f>
        <v/>
      </c>
      <c r="F8" s="11">
        <f>-INCOME!F4*INPUTS!F$17</f>
        <v/>
      </c>
      <c r="G8" s="11">
        <f>-INCOME!G4*INPUTS!G$17</f>
        <v/>
      </c>
      <c r="H8" s="11">
        <f>-INCOME!H4*INPUTS!H$17</f>
        <v/>
      </c>
    </row>
    <row r="9">
      <c r="A9" s="5" t="inlineStr">
        <is>
          <t>Cash from investing</t>
        </is>
      </c>
      <c r="B9" s="11">
        <f>B8</f>
        <v/>
      </c>
      <c r="C9" s="11">
        <f>C8</f>
        <v/>
      </c>
      <c r="D9" s="11">
        <f>D8</f>
        <v/>
      </c>
      <c r="E9" s="11">
        <f>E8</f>
        <v/>
      </c>
      <c r="F9" s="11">
        <f>F8</f>
        <v/>
      </c>
      <c r="G9" s="11">
        <f>G8</f>
        <v/>
      </c>
      <c r="H9" s="11">
        <f>H8</f>
        <v/>
      </c>
    </row>
    <row r="10">
      <c r="A10" s="5" t="inlineStr">
        <is>
          <t>Term debt repayment</t>
        </is>
      </c>
      <c r="B10" s="11">
        <f>-MIN(INPUTS!B$23,HISTORICALS!$K$24)</f>
        <v/>
      </c>
      <c r="C10" s="11">
        <f>-MIN(INPUTS!C$23,BALANCE!B15)</f>
        <v/>
      </c>
      <c r="D10" s="11">
        <f>-MIN(INPUTS!D$23,BALANCE!C15)</f>
        <v/>
      </c>
      <c r="E10" s="11">
        <f>-MIN(INPUTS!E$23,BALANCE!D15)</f>
        <v/>
      </c>
      <c r="F10" s="11">
        <f>-MIN(INPUTS!F$23,BALANCE!E15)</f>
        <v/>
      </c>
      <c r="G10" s="11">
        <f>-MIN(INPUTS!G$23,BALANCE!F15)</f>
        <v/>
      </c>
      <c r="H10" s="11">
        <f>-MIN(INPUTS!H$23,BALANCE!G15)</f>
        <v/>
      </c>
    </row>
    <row r="11">
      <c r="A11" s="5" t="inlineStr">
        <is>
          <t>Dividends paid</t>
        </is>
      </c>
      <c r="B11" s="11">
        <f>-INCOME!B16</f>
        <v/>
      </c>
      <c r="C11" s="11">
        <f>-INCOME!C16</f>
        <v/>
      </c>
      <c r="D11" s="11">
        <f>-INCOME!D16</f>
        <v/>
      </c>
      <c r="E11" s="11">
        <f>-INCOME!E16</f>
        <v/>
      </c>
      <c r="F11" s="11">
        <f>-INCOME!F16</f>
        <v/>
      </c>
      <c r="G11" s="11">
        <f>-INCOME!G16</f>
        <v/>
      </c>
      <c r="H11" s="11">
        <f>-INCOME!H16</f>
        <v/>
      </c>
    </row>
    <row r="12">
      <c r="A12" s="5" t="inlineStr">
        <is>
          <t>Opening cash</t>
        </is>
      </c>
      <c r="B12" s="11">
        <f>HISTORICALS!$K$13</f>
        <v/>
      </c>
      <c r="C12" s="11">
        <f>BALANCE!B4</f>
        <v/>
      </c>
      <c r="D12" s="11">
        <f>BALANCE!C4</f>
        <v/>
      </c>
      <c r="E12" s="11">
        <f>BALANCE!D4</f>
        <v/>
      </c>
      <c r="F12" s="11">
        <f>BALANCE!E4</f>
        <v/>
      </c>
      <c r="G12" s="11">
        <f>BALANCE!F4</f>
        <v/>
      </c>
      <c r="H12" s="11">
        <f>BALANCE!G4</f>
        <v/>
      </c>
    </row>
    <row r="13">
      <c r="A13" s="5" t="inlineStr">
        <is>
          <t>Cash before revolver</t>
        </is>
      </c>
      <c r="B13" s="11">
        <f>B12+B7+B9+B10+B11</f>
        <v/>
      </c>
      <c r="C13" s="11">
        <f>C12+C7+C9+C10+C11</f>
        <v/>
      </c>
      <c r="D13" s="11">
        <f>D12+D7+D9+D10+D11</f>
        <v/>
      </c>
      <c r="E13" s="11">
        <f>E12+E7+E9+E10+E11</f>
        <v/>
      </c>
      <c r="F13" s="11">
        <f>F12+F7+F9+F10+F11</f>
        <v/>
      </c>
      <c r="G13" s="11">
        <f>G12+G7+G9+G10+G11</f>
        <v/>
      </c>
      <c r="H13" s="11">
        <f>H12+H7+H9+H10+H11</f>
        <v/>
      </c>
    </row>
    <row r="14">
      <c r="A14" s="5" t="inlineStr">
        <is>
          <t>Revolver draw</t>
        </is>
      </c>
      <c r="B14" s="11">
        <f>MAX(0,INPUTS!$B$8-B13)</f>
        <v/>
      </c>
      <c r="C14" s="11">
        <f>MAX(0,INPUTS!$B$8-C13)</f>
        <v/>
      </c>
      <c r="D14" s="11">
        <f>MAX(0,INPUTS!$B$8-D13)</f>
        <v/>
      </c>
      <c r="E14" s="11">
        <f>MAX(0,INPUTS!$B$8-E13)</f>
        <v/>
      </c>
      <c r="F14" s="11">
        <f>MAX(0,INPUTS!$B$8-F13)</f>
        <v/>
      </c>
      <c r="G14" s="11">
        <f>MAX(0,INPUTS!$B$8-G13)</f>
        <v/>
      </c>
      <c r="H14" s="11">
        <f>MAX(0,INPUTS!$B$8-H13)</f>
        <v/>
      </c>
    </row>
    <row r="15">
      <c r="A15" s="5" t="inlineStr">
        <is>
          <t>Revolver repayment</t>
        </is>
      </c>
      <c r="B15" s="11">
        <f>-MIN(INPUTS!$B$10,MAX(0,B13-INPUTS!$B$8))</f>
        <v/>
      </c>
      <c r="C15" s="11">
        <f>-MIN(BALANCE!B16,MAX(0,C13-INPUTS!$B$8))</f>
        <v/>
      </c>
      <c r="D15" s="11">
        <f>-MIN(BALANCE!C16,MAX(0,D13-INPUTS!$B$8))</f>
        <v/>
      </c>
      <c r="E15" s="11">
        <f>-MIN(BALANCE!D16,MAX(0,E13-INPUTS!$B$8))</f>
        <v/>
      </c>
      <c r="F15" s="11">
        <f>-MIN(BALANCE!E16,MAX(0,F13-INPUTS!$B$8))</f>
        <v/>
      </c>
      <c r="G15" s="11">
        <f>-MIN(BALANCE!F16,MAX(0,G13-INPUTS!$B$8))</f>
        <v/>
      </c>
      <c r="H15" s="11">
        <f>-MIN(BALANCE!G16,MAX(0,H13-INPUTS!$B$8))</f>
        <v/>
      </c>
    </row>
    <row r="16">
      <c r="A16" s="5" t="inlineStr">
        <is>
          <t>Cash from financing</t>
        </is>
      </c>
      <c r="B16" s="11">
        <f>B10+B11+B14+B15</f>
        <v/>
      </c>
      <c r="C16" s="11">
        <f>C10+C11+C14+C15</f>
        <v/>
      </c>
      <c r="D16" s="11">
        <f>D10+D11+D14+D15</f>
        <v/>
      </c>
      <c r="E16" s="11">
        <f>E10+E11+E14+E15</f>
        <v/>
      </c>
      <c r="F16" s="11">
        <f>F10+F11+F14+F15</f>
        <v/>
      </c>
      <c r="G16" s="11">
        <f>G10+G11+G14+G15</f>
        <v/>
      </c>
      <c r="H16" s="11">
        <f>H10+H11+H14+H15</f>
        <v/>
      </c>
    </row>
    <row r="17">
      <c r="A17" s="5" t="inlineStr">
        <is>
          <t>Net change in cash</t>
        </is>
      </c>
      <c r="B17" s="11">
        <f>B7+B9+B16</f>
        <v/>
      </c>
      <c r="C17" s="11">
        <f>C7+C9+C16</f>
        <v/>
      </c>
      <c r="D17" s="11">
        <f>D7+D9+D16</f>
        <v/>
      </c>
      <c r="E17" s="11">
        <f>E7+E9+E16</f>
        <v/>
      </c>
      <c r="F17" s="11">
        <f>F7+F9+F16</f>
        <v/>
      </c>
      <c r="G17" s="11">
        <f>G7+G9+G16</f>
        <v/>
      </c>
      <c r="H17" s="11">
        <f>H7+H9+H16</f>
        <v/>
      </c>
    </row>
    <row r="18">
      <c r="A18" s="5" t="inlineStr">
        <is>
          <t>Closing cash</t>
        </is>
      </c>
      <c r="B18" s="14">
        <f>B12+B17</f>
        <v/>
      </c>
      <c r="C18" s="14">
        <f>C12+C17</f>
        <v/>
      </c>
      <c r="D18" s="14">
        <f>D12+D17</f>
        <v/>
      </c>
      <c r="E18" s="14">
        <f>E12+E17</f>
        <v/>
      </c>
      <c r="F18" s="14">
        <f>F12+F17</f>
        <v/>
      </c>
      <c r="G18" s="14">
        <f>G12+G17</f>
        <v/>
      </c>
      <c r="H18" s="14">
        <f>H12+H17</f>
        <v/>
      </c>
    </row>
    <row r="20">
      <c r="A20" s="5" t="inlineStr">
        <is>
          <t>Unlevered free cash flow (memo)</t>
        </is>
      </c>
      <c r="B20" s="11">
        <f>INCOME!B10*(1-INPUTS!$B$4)+INCOME!B9+B8+B6</f>
        <v/>
      </c>
      <c r="C20" s="11">
        <f>INCOME!C10*(1-INPUTS!$B$4)+INCOME!C9+C8+C6</f>
        <v/>
      </c>
      <c r="D20" s="11">
        <f>INCOME!D10*(1-INPUTS!$B$4)+INCOME!D9+D8+D6</f>
        <v/>
      </c>
      <c r="E20" s="11">
        <f>INCOME!E10*(1-INPUTS!$B$4)+INCOME!E9+E8+E6</f>
        <v/>
      </c>
      <c r="F20" s="11">
        <f>INCOME!F10*(1-INPUTS!$B$4)+INCOME!F9+F8+F6</f>
        <v/>
      </c>
      <c r="G20" s="11">
        <f>INCOME!G10*(1-INPUTS!$B$4)+INCOME!G9+G8+G6</f>
        <v/>
      </c>
      <c r="H20" s="11">
        <f>INCOME!H10*(1-INPUTS!$B$4)+INCOME!H9+H8+H6</f>
        <v/>
      </c>
    </row>
    <row r="21">
      <c r="A21" s="5" t="inlineStr">
        <is>
          <t>Levered free cash flow (memo)</t>
        </is>
      </c>
      <c r="B21" s="11">
        <f>B7+B9</f>
        <v/>
      </c>
      <c r="C21" s="11">
        <f>C7+C9</f>
        <v/>
      </c>
      <c r="D21" s="11">
        <f>D7+D9</f>
        <v/>
      </c>
      <c r="E21" s="11">
        <f>E7+E9</f>
        <v/>
      </c>
      <c r="F21" s="11">
        <f>F7+F9</f>
        <v/>
      </c>
      <c r="G21" s="11">
        <f>G7+G9</f>
        <v/>
      </c>
      <c r="H21" s="11">
        <f>H7+H9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RATIOS — history and forecast on one line, so the break shows</t>
        </is>
      </c>
    </row>
    <row r="2">
      <c r="A2" s="3" t="inlineStr">
        <is>
          <t>If a ratio steps sharply at the forecast boundary, the assumption behind it needs a reason.</t>
        </is>
      </c>
    </row>
    <row r="3">
      <c r="A3" s="4" t="inlineStr">
        <is>
          <t>Ratio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  <c r="L3" s="15" t="inlineStr">
        <is>
          <t>2026</t>
        </is>
      </c>
      <c r="M3" s="15" t="inlineStr">
        <is>
          <t>2027</t>
        </is>
      </c>
      <c r="N3" s="15" t="inlineStr">
        <is>
          <t>2028</t>
        </is>
      </c>
      <c r="O3" s="15" t="inlineStr">
        <is>
          <t>2029</t>
        </is>
      </c>
      <c r="P3" s="15" t="inlineStr">
        <is>
          <t>2030</t>
        </is>
      </c>
      <c r="Q3" s="15" t="inlineStr">
        <is>
          <t>2031</t>
        </is>
      </c>
      <c r="R3" s="15" t="inlineStr">
        <is>
          <t>2032</t>
        </is>
      </c>
    </row>
    <row r="4">
      <c r="A4" s="5" t="inlineStr">
        <is>
          <t>Revenue growth</t>
        </is>
      </c>
      <c r="B4" s="16">
        <f>NA()</f>
        <v/>
      </c>
      <c r="C4" s="16">
        <f>HISTORICALS!C4/HISTORICALS!B4-1</f>
        <v/>
      </c>
      <c r="D4" s="16">
        <f>HISTORICALS!D4/HISTORICALS!C4-1</f>
        <v/>
      </c>
      <c r="E4" s="16">
        <f>HISTORICALS!E4/HISTORICALS!D4-1</f>
        <v/>
      </c>
      <c r="F4" s="16">
        <f>HISTORICALS!F4/HISTORICALS!E4-1</f>
        <v/>
      </c>
      <c r="G4" s="16">
        <f>HISTORICALS!G4/HISTORICALS!F4-1</f>
        <v/>
      </c>
      <c r="H4" s="16">
        <f>HISTORICALS!H4/HISTORICALS!G4-1</f>
        <v/>
      </c>
      <c r="I4" s="16">
        <f>HISTORICALS!I4/HISTORICALS!H4-1</f>
        <v/>
      </c>
      <c r="J4" s="16">
        <f>HISTORICALS!J4/HISTORICALS!I4-1</f>
        <v/>
      </c>
      <c r="K4" s="16">
        <f>HISTORICALS!K4/HISTORICALS!J4-1</f>
        <v/>
      </c>
      <c r="L4" s="16">
        <f>INCOME!B4/HISTORICALS!$K$4-1</f>
        <v/>
      </c>
      <c r="M4" s="16">
        <f>INCOME!C4/INCOME!B4-1</f>
        <v/>
      </c>
      <c r="N4" s="16">
        <f>INCOME!D4/INCOME!C4-1</f>
        <v/>
      </c>
      <c r="O4" s="16">
        <f>INCOME!E4/INCOME!D4-1</f>
        <v/>
      </c>
      <c r="P4" s="16">
        <f>INCOME!F4/INCOME!E4-1</f>
        <v/>
      </c>
      <c r="Q4" s="16">
        <f>INCOME!G4/INCOME!F4-1</f>
        <v/>
      </c>
      <c r="R4" s="16">
        <f>INCOME!H4/INCOME!G4-1</f>
        <v/>
      </c>
    </row>
    <row r="5">
      <c r="A5" s="5" t="inlineStr">
        <is>
          <t>EBITDA growth</t>
        </is>
      </c>
      <c r="B5" s="16">
        <f>NA()</f>
        <v/>
      </c>
      <c r="C5" s="16">
        <f>HISTORICALS!C8/HISTORICALS!B8-1</f>
        <v/>
      </c>
      <c r="D5" s="16">
        <f>HISTORICALS!D8/HISTORICALS!C8-1</f>
        <v/>
      </c>
      <c r="E5" s="16">
        <f>HISTORICALS!E8/HISTORICALS!D8-1</f>
        <v/>
      </c>
      <c r="F5" s="16">
        <f>HISTORICALS!F8/HISTORICALS!E8-1</f>
        <v/>
      </c>
      <c r="G5" s="16">
        <f>HISTORICALS!G8/HISTORICALS!F8-1</f>
        <v/>
      </c>
      <c r="H5" s="16">
        <f>HISTORICALS!H8/HISTORICALS!G8-1</f>
        <v/>
      </c>
      <c r="I5" s="16">
        <f>HISTORICALS!I8/HISTORICALS!H8-1</f>
        <v/>
      </c>
      <c r="J5" s="16">
        <f>HISTORICALS!J8/HISTORICALS!I8-1</f>
        <v/>
      </c>
      <c r="K5" s="16">
        <f>HISTORICALS!K8/HISTORICALS!J8-1</f>
        <v/>
      </c>
      <c r="L5" s="16">
        <f>INCOME!B8/HISTORICALS!$K$8-1</f>
        <v/>
      </c>
      <c r="M5" s="16">
        <f>INCOME!C8/INCOME!B8-1</f>
        <v/>
      </c>
      <c r="N5" s="16">
        <f>INCOME!D8/INCOME!C8-1</f>
        <v/>
      </c>
      <c r="O5" s="16">
        <f>INCOME!E8/INCOME!D8-1</f>
        <v/>
      </c>
      <c r="P5" s="16">
        <f>INCOME!F8/INCOME!E8-1</f>
        <v/>
      </c>
      <c r="Q5" s="16">
        <f>INCOME!G8/INCOME!F8-1</f>
        <v/>
      </c>
      <c r="R5" s="16">
        <f>INCOME!H8/INCOME!G8-1</f>
        <v/>
      </c>
    </row>
    <row r="6">
      <c r="A6" s="5" t="inlineStr">
        <is>
          <t>Gross margin</t>
        </is>
      </c>
      <c r="B6" s="16">
        <f>HISTORICALS!B6/HISTORICALS!B4</f>
        <v/>
      </c>
      <c r="C6" s="16">
        <f>HISTORICALS!C6/HISTORICALS!C4</f>
        <v/>
      </c>
      <c r="D6" s="16">
        <f>HISTORICALS!D6/HISTORICALS!D4</f>
        <v/>
      </c>
      <c r="E6" s="16">
        <f>HISTORICALS!E6/HISTORICALS!E4</f>
        <v/>
      </c>
      <c r="F6" s="16">
        <f>HISTORICALS!F6/HISTORICALS!F4</f>
        <v/>
      </c>
      <c r="G6" s="16">
        <f>HISTORICALS!G6/HISTORICALS!G4</f>
        <v/>
      </c>
      <c r="H6" s="16">
        <f>HISTORICALS!H6/HISTORICALS!H4</f>
        <v/>
      </c>
      <c r="I6" s="16">
        <f>HISTORICALS!I6/HISTORICALS!I4</f>
        <v/>
      </c>
      <c r="J6" s="16">
        <f>HISTORICALS!J6/HISTORICALS!J4</f>
        <v/>
      </c>
      <c r="K6" s="16">
        <f>HISTORICALS!K6/HISTORICALS!K4</f>
        <v/>
      </c>
      <c r="L6" s="16">
        <f>INCOME!B6/INCOME!B4</f>
        <v/>
      </c>
      <c r="M6" s="16">
        <f>INCOME!C6/INCOME!C4</f>
        <v/>
      </c>
      <c r="N6" s="16">
        <f>INCOME!D6/INCOME!D4</f>
        <v/>
      </c>
      <c r="O6" s="16">
        <f>INCOME!E6/INCOME!E4</f>
        <v/>
      </c>
      <c r="P6" s="16">
        <f>INCOME!F6/INCOME!F4</f>
        <v/>
      </c>
      <c r="Q6" s="16">
        <f>INCOME!G6/INCOME!G4</f>
        <v/>
      </c>
      <c r="R6" s="16">
        <f>INCOME!H6/INCOME!H4</f>
        <v/>
      </c>
    </row>
    <row r="7">
      <c r="A7" s="5" t="inlineStr">
        <is>
          <t>EBITDA margin</t>
        </is>
      </c>
      <c r="B7" s="16">
        <f>HISTORICALS!B8/HISTORICALS!B4</f>
        <v/>
      </c>
      <c r="C7" s="16">
        <f>HISTORICALS!C8/HISTORICALS!C4</f>
        <v/>
      </c>
      <c r="D7" s="16">
        <f>HISTORICALS!D8/HISTORICALS!D4</f>
        <v/>
      </c>
      <c r="E7" s="16">
        <f>HISTORICALS!E8/HISTORICALS!E4</f>
        <v/>
      </c>
      <c r="F7" s="16">
        <f>HISTORICALS!F8/HISTORICALS!F4</f>
        <v/>
      </c>
      <c r="G7" s="16">
        <f>HISTORICALS!G8/HISTORICALS!G4</f>
        <v/>
      </c>
      <c r="H7" s="16">
        <f>HISTORICALS!H8/HISTORICALS!H4</f>
        <v/>
      </c>
      <c r="I7" s="16">
        <f>HISTORICALS!I8/HISTORICALS!I4</f>
        <v/>
      </c>
      <c r="J7" s="16">
        <f>HISTORICALS!J8/HISTORICALS!J4</f>
        <v/>
      </c>
      <c r="K7" s="16">
        <f>HISTORICALS!K8/HISTORICALS!K4</f>
        <v/>
      </c>
      <c r="L7" s="16">
        <f>INCOME!B8/INCOME!B4</f>
        <v/>
      </c>
      <c r="M7" s="16">
        <f>INCOME!C8/INCOME!C4</f>
        <v/>
      </c>
      <c r="N7" s="16">
        <f>INCOME!D8/INCOME!D4</f>
        <v/>
      </c>
      <c r="O7" s="16">
        <f>INCOME!E8/INCOME!E4</f>
        <v/>
      </c>
      <c r="P7" s="16">
        <f>INCOME!F8/INCOME!F4</f>
        <v/>
      </c>
      <c r="Q7" s="16">
        <f>INCOME!G8/INCOME!G4</f>
        <v/>
      </c>
      <c r="R7" s="16">
        <f>INCOME!H8/INCOME!H4</f>
        <v/>
      </c>
    </row>
    <row r="8">
      <c r="A8" s="5" t="inlineStr">
        <is>
          <t>EBIT margin</t>
        </is>
      </c>
      <c r="B8" s="16">
        <f>HISTORICALS!B10/HISTORICALS!B4</f>
        <v/>
      </c>
      <c r="C8" s="16">
        <f>HISTORICALS!C10/HISTORICALS!C4</f>
        <v/>
      </c>
      <c r="D8" s="16">
        <f>HISTORICALS!D10/HISTORICALS!D4</f>
        <v/>
      </c>
      <c r="E8" s="16">
        <f>HISTORICALS!E10/HISTORICALS!E4</f>
        <v/>
      </c>
      <c r="F8" s="16">
        <f>HISTORICALS!F10/HISTORICALS!F4</f>
        <v/>
      </c>
      <c r="G8" s="16">
        <f>HISTORICALS!G10/HISTORICALS!G4</f>
        <v/>
      </c>
      <c r="H8" s="16">
        <f>HISTORICALS!H10/HISTORICALS!H4</f>
        <v/>
      </c>
      <c r="I8" s="16">
        <f>HISTORICALS!I10/HISTORICALS!I4</f>
        <v/>
      </c>
      <c r="J8" s="16">
        <f>HISTORICALS!J10/HISTORICALS!J4</f>
        <v/>
      </c>
      <c r="K8" s="16">
        <f>HISTORICALS!K10/HISTORICALS!K4</f>
        <v/>
      </c>
      <c r="L8" s="16">
        <f>INCOME!B10/INCOME!B4</f>
        <v/>
      </c>
      <c r="M8" s="16">
        <f>INCOME!C10/INCOME!C4</f>
        <v/>
      </c>
      <c r="N8" s="16">
        <f>INCOME!D10/INCOME!D4</f>
        <v/>
      </c>
      <c r="O8" s="16">
        <f>INCOME!E10/INCOME!E4</f>
        <v/>
      </c>
      <c r="P8" s="16">
        <f>INCOME!F10/INCOME!F4</f>
        <v/>
      </c>
      <c r="Q8" s="16">
        <f>INCOME!G10/INCOME!G4</f>
        <v/>
      </c>
      <c r="R8" s="16">
        <f>INCOME!H10/INCOME!H4</f>
        <v/>
      </c>
    </row>
    <row r="9">
      <c r="A9" s="5" t="inlineStr">
        <is>
          <t>Net margin</t>
        </is>
      </c>
      <c r="B9" s="16">
        <f>HISTORICALS!B36/HISTORICALS!B4</f>
        <v/>
      </c>
      <c r="C9" s="16">
        <f>HISTORICALS!C36/HISTORICALS!C4</f>
        <v/>
      </c>
      <c r="D9" s="16">
        <f>HISTORICALS!D36/HISTORICALS!D4</f>
        <v/>
      </c>
      <c r="E9" s="16">
        <f>HISTORICALS!E36/HISTORICALS!E4</f>
        <v/>
      </c>
      <c r="F9" s="16">
        <f>HISTORICALS!F36/HISTORICALS!F4</f>
        <v/>
      </c>
      <c r="G9" s="16">
        <f>HISTORICALS!G36/HISTORICALS!G4</f>
        <v/>
      </c>
      <c r="H9" s="16">
        <f>HISTORICALS!H36/HISTORICALS!H4</f>
        <v/>
      </c>
      <c r="I9" s="16">
        <f>HISTORICALS!I36/HISTORICALS!I4</f>
        <v/>
      </c>
      <c r="J9" s="16">
        <f>HISTORICALS!J36/HISTORICALS!J4</f>
        <v/>
      </c>
      <c r="K9" s="16">
        <f>HISTORICALS!K36/HISTORICALS!K4</f>
        <v/>
      </c>
      <c r="L9" s="16">
        <f>INCOME!B15/INCOME!B4</f>
        <v/>
      </c>
      <c r="M9" s="16">
        <f>INCOME!C15/INCOME!C4</f>
        <v/>
      </c>
      <c r="N9" s="16">
        <f>INCOME!D15/INCOME!D4</f>
        <v/>
      </c>
      <c r="O9" s="16">
        <f>INCOME!E15/INCOME!E4</f>
        <v/>
      </c>
      <c r="P9" s="16">
        <f>INCOME!F15/INCOME!F4</f>
        <v/>
      </c>
      <c r="Q9" s="16">
        <f>INCOME!G15/INCOME!G4</f>
        <v/>
      </c>
      <c r="R9" s="16">
        <f>INCOME!H15/INCOME!H4</f>
        <v/>
      </c>
    </row>
    <row r="10">
      <c r="A10" s="5" t="inlineStr">
        <is>
          <t>Capex % of revenue</t>
        </is>
      </c>
      <c r="B10" s="16">
        <f>HISTORICALS!B11/HISTORICALS!B4</f>
        <v/>
      </c>
      <c r="C10" s="16">
        <f>HISTORICALS!C11/HISTORICALS!C4</f>
        <v/>
      </c>
      <c r="D10" s="16">
        <f>HISTORICALS!D11/HISTORICALS!D4</f>
        <v/>
      </c>
      <c r="E10" s="16">
        <f>HISTORICALS!E11/HISTORICALS!E4</f>
        <v/>
      </c>
      <c r="F10" s="16">
        <f>HISTORICALS!F11/HISTORICALS!F4</f>
        <v/>
      </c>
      <c r="G10" s="16">
        <f>HISTORICALS!G11/HISTORICALS!G4</f>
        <v/>
      </c>
      <c r="H10" s="16">
        <f>HISTORICALS!H11/HISTORICALS!H4</f>
        <v/>
      </c>
      <c r="I10" s="16">
        <f>HISTORICALS!I11/HISTORICALS!I4</f>
        <v/>
      </c>
      <c r="J10" s="16">
        <f>HISTORICALS!J11/HISTORICALS!J4</f>
        <v/>
      </c>
      <c r="K10" s="16">
        <f>HISTORICALS!K11/HISTORICALS!K4</f>
        <v/>
      </c>
      <c r="L10" s="16">
        <f>-CASHFLOW!B8/INCOME!B4</f>
        <v/>
      </c>
      <c r="M10" s="16">
        <f>-CASHFLOW!C8/INCOME!C4</f>
        <v/>
      </c>
      <c r="N10" s="16">
        <f>-CASHFLOW!D8/INCOME!D4</f>
        <v/>
      </c>
      <c r="O10" s="16">
        <f>-CASHFLOW!E8/INCOME!E4</f>
        <v/>
      </c>
      <c r="P10" s="16">
        <f>-CASHFLOW!F8/INCOME!F4</f>
        <v/>
      </c>
      <c r="Q10" s="16">
        <f>-CASHFLOW!G8/INCOME!G4</f>
        <v/>
      </c>
      <c r="R10" s="16">
        <f>-CASHFLOW!H8/INCOME!H4</f>
        <v/>
      </c>
    </row>
    <row r="11">
      <c r="A11" s="5" t="inlineStr">
        <is>
          <t>Days sales outstanding</t>
        </is>
      </c>
      <c r="B11" s="17">
        <f>HISTORICALS!B14/HISTORICALS!B4*365</f>
        <v/>
      </c>
      <c r="C11" s="17">
        <f>HISTORICALS!C14/HISTORICALS!C4*365</f>
        <v/>
      </c>
      <c r="D11" s="17">
        <f>HISTORICALS!D14/HISTORICALS!D4*365</f>
        <v/>
      </c>
      <c r="E11" s="17">
        <f>HISTORICALS!E14/HISTORICALS!E4*365</f>
        <v/>
      </c>
      <c r="F11" s="17">
        <f>HISTORICALS!F14/HISTORICALS!F4*365</f>
        <v/>
      </c>
      <c r="G11" s="17">
        <f>HISTORICALS!G14/HISTORICALS!G4*365</f>
        <v/>
      </c>
      <c r="H11" s="17">
        <f>HISTORICALS!H14/HISTORICALS!H4*365</f>
        <v/>
      </c>
      <c r="I11" s="17">
        <f>HISTORICALS!I14/HISTORICALS!I4*365</f>
        <v/>
      </c>
      <c r="J11" s="17">
        <f>HISTORICALS!J14/HISTORICALS!J4*365</f>
        <v/>
      </c>
      <c r="K11" s="17">
        <f>HISTORICALS!K14/HISTORICALS!K4*365</f>
        <v/>
      </c>
      <c r="L11" s="17">
        <f>BALANCE!B5/INCOME!B4*365</f>
        <v/>
      </c>
      <c r="M11" s="17">
        <f>BALANCE!C5/INCOME!C4*365</f>
        <v/>
      </c>
      <c r="N11" s="17">
        <f>BALANCE!D5/INCOME!D4*365</f>
        <v/>
      </c>
      <c r="O11" s="17">
        <f>BALANCE!E5/INCOME!E4*365</f>
        <v/>
      </c>
      <c r="P11" s="17">
        <f>BALANCE!F5/INCOME!F4*365</f>
        <v/>
      </c>
      <c r="Q11" s="17">
        <f>BALANCE!G5/INCOME!G4*365</f>
        <v/>
      </c>
      <c r="R11" s="17">
        <f>BALANCE!H5/INCOME!H4*365</f>
        <v/>
      </c>
    </row>
    <row r="12">
      <c r="A12" s="5" t="inlineStr">
        <is>
          <t>Days inventory outstanding</t>
        </is>
      </c>
      <c r="B12" s="17">
        <f>HISTORICALS!B15/HISTORICALS!B5*365</f>
        <v/>
      </c>
      <c r="C12" s="17">
        <f>HISTORICALS!C15/HISTORICALS!C5*365</f>
        <v/>
      </c>
      <c r="D12" s="17">
        <f>HISTORICALS!D15/HISTORICALS!D5*365</f>
        <v/>
      </c>
      <c r="E12" s="17">
        <f>HISTORICALS!E15/HISTORICALS!E5*365</f>
        <v/>
      </c>
      <c r="F12" s="17">
        <f>HISTORICALS!F15/HISTORICALS!F5*365</f>
        <v/>
      </c>
      <c r="G12" s="17">
        <f>HISTORICALS!G15/HISTORICALS!G5*365</f>
        <v/>
      </c>
      <c r="H12" s="17">
        <f>HISTORICALS!H15/HISTORICALS!H5*365</f>
        <v/>
      </c>
      <c r="I12" s="17">
        <f>HISTORICALS!I15/HISTORICALS!I5*365</f>
        <v/>
      </c>
      <c r="J12" s="17">
        <f>HISTORICALS!J15/HISTORICALS!J5*365</f>
        <v/>
      </c>
      <c r="K12" s="17">
        <f>HISTORICALS!K15/HISTORICALS!K5*365</f>
        <v/>
      </c>
      <c r="L12" s="17">
        <f>BALANCE!B6/INCOME!B5*365</f>
        <v/>
      </c>
      <c r="M12" s="17">
        <f>BALANCE!C6/INCOME!C5*365</f>
        <v/>
      </c>
      <c r="N12" s="17">
        <f>BALANCE!D6/INCOME!D5*365</f>
        <v/>
      </c>
      <c r="O12" s="17">
        <f>BALANCE!E6/INCOME!E5*365</f>
        <v/>
      </c>
      <c r="P12" s="17">
        <f>BALANCE!F6/INCOME!F5*365</f>
        <v/>
      </c>
      <c r="Q12" s="17">
        <f>BALANCE!G6/INCOME!G5*365</f>
        <v/>
      </c>
      <c r="R12" s="17">
        <f>BALANCE!H6/INCOME!H5*365</f>
        <v/>
      </c>
    </row>
    <row r="13">
      <c r="A13" s="5" t="inlineStr">
        <is>
          <t>Days payables outstanding</t>
        </is>
      </c>
      <c r="B13" s="17">
        <f>HISTORICALS!B21/HISTORICALS!B5*365</f>
        <v/>
      </c>
      <c r="C13" s="17">
        <f>HISTORICALS!C21/HISTORICALS!C5*365</f>
        <v/>
      </c>
      <c r="D13" s="17">
        <f>HISTORICALS!D21/HISTORICALS!D5*365</f>
        <v/>
      </c>
      <c r="E13" s="17">
        <f>HISTORICALS!E21/HISTORICALS!E5*365</f>
        <v/>
      </c>
      <c r="F13" s="17">
        <f>HISTORICALS!F21/HISTORICALS!F5*365</f>
        <v/>
      </c>
      <c r="G13" s="17">
        <f>HISTORICALS!G21/HISTORICALS!G5*365</f>
        <v/>
      </c>
      <c r="H13" s="17">
        <f>HISTORICALS!H21/HISTORICALS!H5*365</f>
        <v/>
      </c>
      <c r="I13" s="17">
        <f>HISTORICALS!I21/HISTORICALS!I5*365</f>
        <v/>
      </c>
      <c r="J13" s="17">
        <f>HISTORICALS!J21/HISTORICALS!J5*365</f>
        <v/>
      </c>
      <c r="K13" s="17">
        <f>HISTORICALS!K21/HISTORICALS!K5*365</f>
        <v/>
      </c>
      <c r="L13" s="17">
        <f>BALANCE!B12/INCOME!B5*365</f>
        <v/>
      </c>
      <c r="M13" s="17">
        <f>BALANCE!C12/INCOME!C5*365</f>
        <v/>
      </c>
      <c r="N13" s="17">
        <f>BALANCE!D12/INCOME!D5*365</f>
        <v/>
      </c>
      <c r="O13" s="17">
        <f>BALANCE!E12/INCOME!E5*365</f>
        <v/>
      </c>
      <c r="P13" s="17">
        <f>BALANCE!F12/INCOME!F5*365</f>
        <v/>
      </c>
      <c r="Q13" s="17">
        <f>BALANCE!G12/INCOME!G5*365</f>
        <v/>
      </c>
      <c r="R13" s="17">
        <f>BALANCE!H12/INCOME!H5*365</f>
        <v/>
      </c>
    </row>
    <row r="14">
      <c r="A14" s="5" t="inlineStr">
        <is>
          <t>Cash conversion cycle (days)</t>
        </is>
      </c>
      <c r="B14" s="17">
        <f>B11+B12-B13</f>
        <v/>
      </c>
      <c r="C14" s="17">
        <f>C11+C12-C13</f>
        <v/>
      </c>
      <c r="D14" s="17">
        <f>D11+D12-D13</f>
        <v/>
      </c>
      <c r="E14" s="17">
        <f>E11+E12-E13</f>
        <v/>
      </c>
      <c r="F14" s="17">
        <f>F11+F12-F13</f>
        <v/>
      </c>
      <c r="G14" s="17">
        <f>G11+G12-G13</f>
        <v/>
      </c>
      <c r="H14" s="17">
        <f>H11+H12-H13</f>
        <v/>
      </c>
      <c r="I14" s="17">
        <f>I11+I12-I13</f>
        <v/>
      </c>
      <c r="J14" s="17">
        <f>J11+J12-J13</f>
        <v/>
      </c>
      <c r="K14" s="17">
        <f>K11+K12-K13</f>
        <v/>
      </c>
      <c r="L14" s="17">
        <f>L11+L12-L13</f>
        <v/>
      </c>
      <c r="M14" s="17">
        <f>M11+M12-M13</f>
        <v/>
      </c>
      <c r="N14" s="17">
        <f>N11+N12-N13</f>
        <v/>
      </c>
      <c r="O14" s="17">
        <f>O11+O12-O13</f>
        <v/>
      </c>
      <c r="P14" s="17">
        <f>P11+P12-P13</f>
        <v/>
      </c>
      <c r="Q14" s="17">
        <f>Q11+Q12-Q13</f>
        <v/>
      </c>
      <c r="R14" s="17">
        <f>R11+R12-R13</f>
        <v/>
      </c>
    </row>
    <row r="15">
      <c r="A15" s="5" t="inlineStr">
        <is>
          <t>Fixed asset turnover</t>
        </is>
      </c>
      <c r="B15" s="18">
        <f>HISTORICALS!B4/HISTORICALS!B17</f>
        <v/>
      </c>
      <c r="C15" s="18">
        <f>HISTORICALS!C4/HISTORICALS!C17</f>
        <v/>
      </c>
      <c r="D15" s="18">
        <f>HISTORICALS!D4/HISTORICALS!D17</f>
        <v/>
      </c>
      <c r="E15" s="18">
        <f>HISTORICALS!E4/HISTORICALS!E17</f>
        <v/>
      </c>
      <c r="F15" s="18">
        <f>HISTORICALS!F4/HISTORICALS!F17</f>
        <v/>
      </c>
      <c r="G15" s="18">
        <f>HISTORICALS!G4/HISTORICALS!G17</f>
        <v/>
      </c>
      <c r="H15" s="18">
        <f>HISTORICALS!H4/HISTORICALS!H17</f>
        <v/>
      </c>
      <c r="I15" s="18">
        <f>HISTORICALS!I4/HISTORICALS!I17</f>
        <v/>
      </c>
      <c r="J15" s="18">
        <f>HISTORICALS!J4/HISTORICALS!J17</f>
        <v/>
      </c>
      <c r="K15" s="18">
        <f>HISTORICALS!K4/HISTORICALS!K17</f>
        <v/>
      </c>
      <c r="L15" s="18">
        <f>INCOME!B4/BALANCE!B8</f>
        <v/>
      </c>
      <c r="M15" s="18">
        <f>INCOME!C4/BALANCE!C8</f>
        <v/>
      </c>
      <c r="N15" s="18">
        <f>INCOME!D4/BALANCE!D8</f>
        <v/>
      </c>
      <c r="O15" s="18">
        <f>INCOME!E4/BALANCE!E8</f>
        <v/>
      </c>
      <c r="P15" s="18">
        <f>INCOME!F4/BALANCE!F8</f>
        <v/>
      </c>
      <c r="Q15" s="18">
        <f>INCOME!G4/BALANCE!G8</f>
        <v/>
      </c>
      <c r="R15" s="18">
        <f>INCOME!H4/BALANCE!H8</f>
        <v/>
      </c>
    </row>
    <row r="16">
      <c r="A16" s="5" t="inlineStr">
        <is>
          <t>Net debt / EBITDA</t>
        </is>
      </c>
      <c r="B16" s="18">
        <f>(HISTORICALS!B24-HISTORICALS!B13)/HISTORICALS!B8</f>
        <v/>
      </c>
      <c r="C16" s="18">
        <f>(HISTORICALS!C24-HISTORICALS!C13)/HISTORICALS!C8</f>
        <v/>
      </c>
      <c r="D16" s="18">
        <f>(HISTORICALS!D24-HISTORICALS!D13)/HISTORICALS!D8</f>
        <v/>
      </c>
      <c r="E16" s="18">
        <f>(HISTORICALS!E24-HISTORICALS!E13)/HISTORICALS!E8</f>
        <v/>
      </c>
      <c r="F16" s="18">
        <f>(HISTORICALS!F24-HISTORICALS!F13)/HISTORICALS!F8</f>
        <v/>
      </c>
      <c r="G16" s="18">
        <f>(HISTORICALS!G24-HISTORICALS!G13)/HISTORICALS!G8</f>
        <v/>
      </c>
      <c r="H16" s="18">
        <f>(HISTORICALS!H24-HISTORICALS!H13)/HISTORICALS!H8</f>
        <v/>
      </c>
      <c r="I16" s="18">
        <f>(HISTORICALS!I24-HISTORICALS!I13)/HISTORICALS!I8</f>
        <v/>
      </c>
      <c r="J16" s="18">
        <f>(HISTORICALS!J24-HISTORICALS!J13)/HISTORICALS!J8</f>
        <v/>
      </c>
      <c r="K16" s="18">
        <f>(HISTORICALS!K24-HISTORICALS!K13)/HISTORICALS!K8</f>
        <v/>
      </c>
      <c r="L16" s="18">
        <f>BALANCE!B24/INCOME!B8</f>
        <v/>
      </c>
      <c r="M16" s="18">
        <f>BALANCE!C24/INCOME!C8</f>
        <v/>
      </c>
      <c r="N16" s="18">
        <f>BALANCE!D24/INCOME!D8</f>
        <v/>
      </c>
      <c r="O16" s="18">
        <f>BALANCE!E24/INCOME!E8</f>
        <v/>
      </c>
      <c r="P16" s="18">
        <f>BALANCE!F24/INCOME!F8</f>
        <v/>
      </c>
      <c r="Q16" s="18">
        <f>BALANCE!G24/INCOME!G8</f>
        <v/>
      </c>
      <c r="R16" s="18">
        <f>BALANCE!H24/INCOME!H8</f>
        <v/>
      </c>
    </row>
    <row r="17">
      <c r="A17" s="5" t="inlineStr">
        <is>
          <t>EBIT / interest expense</t>
        </is>
      </c>
      <c r="B17" s="18">
        <f>HISTORICALS!B10/HISTORICALS!B37</f>
        <v/>
      </c>
      <c r="C17" s="18">
        <f>HISTORICALS!C10/HISTORICALS!C37</f>
        <v/>
      </c>
      <c r="D17" s="18">
        <f>HISTORICALS!D10/HISTORICALS!D37</f>
        <v/>
      </c>
      <c r="E17" s="18">
        <f>HISTORICALS!E10/HISTORICALS!E37</f>
        <v/>
      </c>
      <c r="F17" s="18">
        <f>HISTORICALS!F10/HISTORICALS!F37</f>
        <v/>
      </c>
      <c r="G17" s="18">
        <f>HISTORICALS!G10/HISTORICALS!G37</f>
        <v/>
      </c>
      <c r="H17" s="18">
        <f>HISTORICALS!H10/HISTORICALS!H37</f>
        <v/>
      </c>
      <c r="I17" s="18">
        <f>HISTORICALS!I10/HISTORICALS!I37</f>
        <v/>
      </c>
      <c r="J17" s="18">
        <f>HISTORICALS!J10/HISTORICALS!J37</f>
        <v/>
      </c>
      <c r="K17" s="18">
        <f>HISTORICALS!K10/HISTORICALS!K37</f>
        <v/>
      </c>
      <c r="L17" s="18">
        <f>INCOME!B10/INCOME!B11</f>
        <v/>
      </c>
      <c r="M17" s="18">
        <f>INCOME!C10/INCOME!C11</f>
        <v/>
      </c>
      <c r="N17" s="18">
        <f>INCOME!D10/INCOME!D11</f>
        <v/>
      </c>
      <c r="O17" s="18">
        <f>INCOME!E10/INCOME!E11</f>
        <v/>
      </c>
      <c r="P17" s="18">
        <f>INCOME!F10/INCOME!F11</f>
        <v/>
      </c>
      <c r="Q17" s="18">
        <f>INCOME!G10/INCOME!G11</f>
        <v/>
      </c>
      <c r="R17" s="18">
        <f>INCOME!H10/INCOME!H11</f>
        <v/>
      </c>
    </row>
    <row r="18">
      <c r="A18" s="5" t="inlineStr">
        <is>
          <t>Return on capital employed</t>
        </is>
      </c>
      <c r="B18" s="16">
        <f>HISTORICALS!B10/(HISTORICALS!B19-HISTORICALS!B21-HISTORICALS!B22)</f>
        <v/>
      </c>
      <c r="C18" s="16">
        <f>HISTORICALS!C10/(HISTORICALS!C19-HISTORICALS!C21-HISTORICALS!C22)</f>
        <v/>
      </c>
      <c r="D18" s="16">
        <f>HISTORICALS!D10/(HISTORICALS!D19-HISTORICALS!D21-HISTORICALS!D22)</f>
        <v/>
      </c>
      <c r="E18" s="16">
        <f>HISTORICALS!E10/(HISTORICALS!E19-HISTORICALS!E21-HISTORICALS!E22)</f>
        <v/>
      </c>
      <c r="F18" s="16">
        <f>HISTORICALS!F10/(HISTORICALS!F19-HISTORICALS!F21-HISTORICALS!F22)</f>
        <v/>
      </c>
      <c r="G18" s="16">
        <f>HISTORICALS!G10/(HISTORICALS!G19-HISTORICALS!G21-HISTORICALS!G22)</f>
        <v/>
      </c>
      <c r="H18" s="16">
        <f>HISTORICALS!H10/(HISTORICALS!H19-HISTORICALS!H21-HISTORICALS!H22)</f>
        <v/>
      </c>
      <c r="I18" s="16">
        <f>HISTORICALS!I10/(HISTORICALS!I19-HISTORICALS!I21-HISTORICALS!I22)</f>
        <v/>
      </c>
      <c r="J18" s="16">
        <f>HISTORICALS!J10/(HISTORICALS!J19-HISTORICALS!J21-HISTORICALS!J22)</f>
        <v/>
      </c>
      <c r="K18" s="16">
        <f>HISTORICALS!K10/(HISTORICALS!K19-HISTORICALS!K21-HISTORICALS!K22)</f>
        <v/>
      </c>
      <c r="L18" s="16">
        <f>INCOME!B10/(BALANCE!B10-BALANCE!B12-BALANCE!B13)</f>
        <v/>
      </c>
      <c r="M18" s="16">
        <f>INCOME!C10/(BALANCE!C10-BALANCE!C12-BALANCE!C13)</f>
        <v/>
      </c>
      <c r="N18" s="16">
        <f>INCOME!D10/(BALANCE!D10-BALANCE!D12-BALANCE!D13)</f>
        <v/>
      </c>
      <c r="O18" s="16">
        <f>INCOME!E10/(BALANCE!E10-BALANCE!E12-BALANCE!E13)</f>
        <v/>
      </c>
      <c r="P18" s="16">
        <f>INCOME!F10/(BALANCE!F10-BALANCE!F12-BALANCE!F13)</f>
        <v/>
      </c>
      <c r="Q18" s="16">
        <f>INCOME!G10/(BALANCE!G10-BALANCE!G12-BALANCE!G13)</f>
        <v/>
      </c>
      <c r="R18" s="16">
        <f>INCOME!H10/(BALANCE!H10-BALANCE!H12-BALANCE!H13)</f>
        <v/>
      </c>
    </row>
    <row r="19">
      <c r="A19" s="5" t="inlineStr">
        <is>
          <t>Return on equity</t>
        </is>
      </c>
      <c r="B19" s="16">
        <f>NA()</f>
        <v/>
      </c>
      <c r="C19" s="16">
        <f>HISTORICALS!C36/((HISTORICALS!C26+HISTORICALS!B26)/2)</f>
        <v/>
      </c>
      <c r="D19" s="16">
        <f>HISTORICALS!D36/((HISTORICALS!D26+HISTORICALS!C26)/2)</f>
        <v/>
      </c>
      <c r="E19" s="16">
        <f>HISTORICALS!E36/((HISTORICALS!E26+HISTORICALS!D26)/2)</f>
        <v/>
      </c>
      <c r="F19" s="16">
        <f>HISTORICALS!F36/((HISTORICALS!F26+HISTORICALS!E26)/2)</f>
        <v/>
      </c>
      <c r="G19" s="16">
        <f>HISTORICALS!G36/((HISTORICALS!G26+HISTORICALS!F26)/2)</f>
        <v/>
      </c>
      <c r="H19" s="16">
        <f>HISTORICALS!H36/((HISTORICALS!H26+HISTORICALS!G26)/2)</f>
        <v/>
      </c>
      <c r="I19" s="16">
        <f>HISTORICALS!I36/((HISTORICALS!I26+HISTORICALS!H26)/2)</f>
        <v/>
      </c>
      <c r="J19" s="16">
        <f>HISTORICALS!J36/((HISTORICALS!J26+HISTORICALS!I26)/2)</f>
        <v/>
      </c>
      <c r="K19" s="16">
        <f>HISTORICALS!K36/((HISTORICALS!K26+HISTORICALS!J26)/2)</f>
        <v/>
      </c>
      <c r="L19" s="16">
        <f>INCOME!B15/DUPONT!L11</f>
        <v/>
      </c>
      <c r="M19" s="16">
        <f>INCOME!C15/DUPONT!M11</f>
        <v/>
      </c>
      <c r="N19" s="16">
        <f>INCOME!D15/DUPONT!N11</f>
        <v/>
      </c>
      <c r="O19" s="16">
        <f>INCOME!E15/DUPONT!O11</f>
        <v/>
      </c>
      <c r="P19" s="16">
        <f>INCOME!F15/DUPONT!P11</f>
        <v/>
      </c>
      <c r="Q19" s="16">
        <f>INCOME!G15/DUPONT!Q11</f>
        <v/>
      </c>
      <c r="R19" s="16">
        <f>INCOME!H15/DUPONT!R11</f>
        <v/>
      </c>
    </row>
    <row r="20">
      <c r="A20" s="5" t="inlineStr">
        <is>
          <t>Retention ratio</t>
        </is>
      </c>
      <c r="B20" s="16">
        <f>NA()</f>
        <v/>
      </c>
      <c r="C20" s="16">
        <f>NA()</f>
        <v/>
      </c>
      <c r="D20" s="16">
        <f>NA()</f>
        <v/>
      </c>
      <c r="E20" s="16">
        <f>NA()</f>
        <v/>
      </c>
      <c r="F20" s="16">
        <f>NA()</f>
        <v/>
      </c>
      <c r="G20" s="16">
        <f>NA()</f>
        <v/>
      </c>
      <c r="H20" s="16">
        <f>NA()</f>
        <v/>
      </c>
      <c r="I20" s="16">
        <f>NA()</f>
        <v/>
      </c>
      <c r="J20" s="16">
        <f>NA()</f>
        <v/>
      </c>
      <c r="K20" s="16">
        <f>NA()</f>
        <v/>
      </c>
      <c r="L20" s="16">
        <f>1-INCOME!B16/INCOME!B15</f>
        <v/>
      </c>
      <c r="M20" s="16">
        <f>1-INCOME!C16/INCOME!C15</f>
        <v/>
      </c>
      <c r="N20" s="16">
        <f>1-INCOME!D16/INCOME!D15</f>
        <v/>
      </c>
      <c r="O20" s="16">
        <f>1-INCOME!E16/INCOME!E15</f>
        <v/>
      </c>
      <c r="P20" s="16">
        <f>1-INCOME!F16/INCOME!F15</f>
        <v/>
      </c>
      <c r="Q20" s="16">
        <f>1-INCOME!G16/INCOME!G15</f>
        <v/>
      </c>
      <c r="R20" s="16">
        <f>1-INCOME!H16/INCOME!H15</f>
        <v/>
      </c>
    </row>
    <row r="21">
      <c r="A21" s="5" t="inlineStr">
        <is>
          <t>Sustainable growth (retention x ROE)</t>
        </is>
      </c>
      <c r="B21" s="16">
        <f>NA()</f>
        <v/>
      </c>
      <c r="C21" s="16">
        <f>NA()</f>
        <v/>
      </c>
      <c r="D21" s="16">
        <f>NA()</f>
        <v/>
      </c>
      <c r="E21" s="16">
        <f>NA()</f>
        <v/>
      </c>
      <c r="F21" s="16">
        <f>NA()</f>
        <v/>
      </c>
      <c r="G21" s="16">
        <f>NA()</f>
        <v/>
      </c>
      <c r="H21" s="16">
        <f>NA()</f>
        <v/>
      </c>
      <c r="I21" s="16">
        <f>NA()</f>
        <v/>
      </c>
      <c r="J21" s="16">
        <f>NA()</f>
        <v/>
      </c>
      <c r="K21" s="16">
        <f>NA()</f>
        <v/>
      </c>
      <c r="L21" s="16">
        <f>L20*L19</f>
        <v/>
      </c>
      <c r="M21" s="16">
        <f>M20*M19</f>
        <v/>
      </c>
      <c r="N21" s="16">
        <f>N20*N19</f>
        <v/>
      </c>
      <c r="O21" s="16">
        <f>O20*O19</f>
        <v/>
      </c>
      <c r="P21" s="16">
        <f>P20*P19</f>
        <v/>
      </c>
      <c r="Q21" s="16">
        <f>Q20*Q19</f>
        <v/>
      </c>
      <c r="R21" s="16">
        <f>R20*R19</f>
        <v/>
      </c>
    </row>
    <row r="22">
      <c r="A22" s="5" t="inlineStr">
        <is>
          <t>CFO / revenue</t>
        </is>
      </c>
      <c r="B22" s="16">
        <f>HISTORICALS!B38/HISTORICALS!B4</f>
        <v/>
      </c>
      <c r="C22" s="16">
        <f>HISTORICALS!C38/HISTORICALS!C4</f>
        <v/>
      </c>
      <c r="D22" s="16">
        <f>HISTORICALS!D38/HISTORICALS!D4</f>
        <v/>
      </c>
      <c r="E22" s="16">
        <f>HISTORICALS!E38/HISTORICALS!E4</f>
        <v/>
      </c>
      <c r="F22" s="16">
        <f>HISTORICALS!F38/HISTORICALS!F4</f>
        <v/>
      </c>
      <c r="G22" s="16">
        <f>HISTORICALS!G38/HISTORICALS!G4</f>
        <v/>
      </c>
      <c r="H22" s="16">
        <f>HISTORICALS!H38/HISTORICALS!H4</f>
        <v/>
      </c>
      <c r="I22" s="16">
        <f>HISTORICALS!I38/HISTORICALS!I4</f>
        <v/>
      </c>
      <c r="J22" s="16">
        <f>HISTORICALS!J38/HISTORICALS!J4</f>
        <v/>
      </c>
      <c r="K22" s="16">
        <f>HISTORICALS!K38/HISTORICALS!K4</f>
        <v/>
      </c>
      <c r="L22" s="16">
        <f>CASHFLOW!B7/INCOME!B4</f>
        <v/>
      </c>
      <c r="M22" s="16">
        <f>CASHFLOW!C7/INCOME!C4</f>
        <v/>
      </c>
      <c r="N22" s="16">
        <f>CASHFLOW!D7/INCOME!D4</f>
        <v/>
      </c>
      <c r="O22" s="16">
        <f>CASHFLOW!E7/INCOME!E4</f>
        <v/>
      </c>
      <c r="P22" s="16">
        <f>CASHFLOW!F7/INCOME!F4</f>
        <v/>
      </c>
      <c r="Q22" s="16">
        <f>CASHFLOW!G7/INCOME!G4</f>
        <v/>
      </c>
      <c r="R22" s="16">
        <f>CASHFLOW!H7/INCOME!H4</f>
        <v/>
      </c>
    </row>
    <row r="23">
      <c r="A23" s="5" t="inlineStr">
        <is>
          <t>CFO / total assets</t>
        </is>
      </c>
      <c r="B23" s="16">
        <f>HISTORICALS!B38/HISTORICALS!B19</f>
        <v/>
      </c>
      <c r="C23" s="16">
        <f>HISTORICALS!C38/HISTORICALS!C19</f>
        <v/>
      </c>
      <c r="D23" s="16">
        <f>HISTORICALS!D38/HISTORICALS!D19</f>
        <v/>
      </c>
      <c r="E23" s="16">
        <f>HISTORICALS!E38/HISTORICALS!E19</f>
        <v/>
      </c>
      <c r="F23" s="16">
        <f>HISTORICALS!F38/HISTORICALS!F19</f>
        <v/>
      </c>
      <c r="G23" s="16">
        <f>HISTORICALS!G38/HISTORICALS!G19</f>
        <v/>
      </c>
      <c r="H23" s="16">
        <f>HISTORICALS!H38/HISTORICALS!H19</f>
        <v/>
      </c>
      <c r="I23" s="16">
        <f>HISTORICALS!I38/HISTORICALS!I19</f>
        <v/>
      </c>
      <c r="J23" s="16">
        <f>HISTORICALS!J38/HISTORICALS!J19</f>
        <v/>
      </c>
      <c r="K23" s="16">
        <f>HISTORICALS!K38/HISTORICALS!K19</f>
        <v/>
      </c>
      <c r="L23" s="16">
        <f>CASHFLOW!B7/BALANCE!B10</f>
        <v/>
      </c>
      <c r="M23" s="16">
        <f>CASHFLOW!C7/BALANCE!C10</f>
        <v/>
      </c>
      <c r="N23" s="16">
        <f>CASHFLOW!D7/BALANCE!D10</f>
        <v/>
      </c>
      <c r="O23" s="16">
        <f>CASHFLOW!E7/BALANCE!E10</f>
        <v/>
      </c>
      <c r="P23" s="16">
        <f>CASHFLOW!F7/BALANCE!F10</f>
        <v/>
      </c>
      <c r="Q23" s="16">
        <f>CASHFLOW!G7/BALANCE!G10</f>
        <v/>
      </c>
      <c r="R23" s="16">
        <f>CASHFLOW!H7/BALANCE!H10</f>
        <v/>
      </c>
    </row>
    <row r="24">
      <c r="A24" s="5" t="inlineStr">
        <is>
          <t>CFO / total debt</t>
        </is>
      </c>
      <c r="B24" s="16">
        <f>HISTORICALS!B38/HISTORICALS!B24</f>
        <v/>
      </c>
      <c r="C24" s="16">
        <f>HISTORICALS!C38/HISTORICALS!C24</f>
        <v/>
      </c>
      <c r="D24" s="16">
        <f>HISTORICALS!D38/HISTORICALS!D24</f>
        <v/>
      </c>
      <c r="E24" s="16">
        <f>HISTORICALS!E38/HISTORICALS!E24</f>
        <v/>
      </c>
      <c r="F24" s="16">
        <f>HISTORICALS!F38/HISTORICALS!F24</f>
        <v/>
      </c>
      <c r="G24" s="16">
        <f>HISTORICALS!G38/HISTORICALS!G24</f>
        <v/>
      </c>
      <c r="H24" s="16">
        <f>HISTORICALS!H38/HISTORICALS!H24</f>
        <v/>
      </c>
      <c r="I24" s="16">
        <f>HISTORICALS!I38/HISTORICALS!I24</f>
        <v/>
      </c>
      <c r="J24" s="16">
        <f>HISTORICALS!J38/HISTORICALS!J24</f>
        <v/>
      </c>
      <c r="K24" s="16">
        <f>HISTORICALS!K38/HISTORICALS!K24</f>
        <v/>
      </c>
      <c r="L24" s="16">
        <f>CASHFLOW!B7/(BALANCE!B15+BALANCE!B16)</f>
        <v/>
      </c>
      <c r="M24" s="16">
        <f>CASHFLOW!C7/(BALANCE!C15+BALANCE!C16)</f>
        <v/>
      </c>
      <c r="N24" s="16">
        <f>CASHFLOW!D7/(BALANCE!D15+BALANCE!D16)</f>
        <v/>
      </c>
      <c r="O24" s="16">
        <f>CASHFLOW!E7/(BALANCE!E15+BALANCE!E16)</f>
        <v/>
      </c>
      <c r="P24" s="16">
        <f>CASHFLOW!F7/(BALANCE!F15+BALANCE!F16)</f>
        <v/>
      </c>
      <c r="Q24" s="16">
        <f>CASHFLOW!G7/(BALANCE!G15+BALANCE!G16)</f>
        <v/>
      </c>
      <c r="R24" s="16">
        <f>CASHFLOW!H7/(BALANCE!H15+BALANCE!H16)</f>
        <v/>
      </c>
    </row>
    <row r="25">
      <c r="A25" s="5" t="inlineStr">
        <is>
          <t>Levered FCF / EBITDA</t>
        </is>
      </c>
      <c r="B25" s="16">
        <f>NA()</f>
        <v/>
      </c>
      <c r="C25" s="16">
        <f>NA()</f>
        <v/>
      </c>
      <c r="D25" s="16">
        <f>NA()</f>
        <v/>
      </c>
      <c r="E25" s="16">
        <f>NA()</f>
        <v/>
      </c>
      <c r="F25" s="16">
        <f>NA()</f>
        <v/>
      </c>
      <c r="G25" s="16">
        <f>NA()</f>
        <v/>
      </c>
      <c r="H25" s="16">
        <f>NA()</f>
        <v/>
      </c>
      <c r="I25" s="16">
        <f>NA()</f>
        <v/>
      </c>
      <c r="J25" s="16">
        <f>NA()</f>
        <v/>
      </c>
      <c r="K25" s="16">
        <f>NA()</f>
        <v/>
      </c>
      <c r="L25" s="16">
        <f>CASHFLOW!B21/INCOME!B8</f>
        <v/>
      </c>
      <c r="M25" s="16">
        <f>CASHFLOW!C21/INCOME!C8</f>
        <v/>
      </c>
      <c r="N25" s="16">
        <f>CASHFLOW!D21/INCOME!D8</f>
        <v/>
      </c>
      <c r="O25" s="16">
        <f>CASHFLOW!E21/INCOME!E8</f>
        <v/>
      </c>
      <c r="P25" s="16">
        <f>CASHFLOW!F21/INCOME!F8</f>
        <v/>
      </c>
      <c r="Q25" s="16">
        <f>CASHFLOW!G21/INCOME!G8</f>
        <v/>
      </c>
      <c r="R25" s="16">
        <f>CASHFLOW!H21/INCOME!H8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DUPONT — where the return on equity actually comes from</t>
        </is>
      </c>
    </row>
    <row r="2">
      <c r="A2" s="3" t="inlineStr">
        <is>
          <t>Margin, asset efficiency and leverage. Two companies with the same ROE can be entirely different businesses; this says which. Balances are averaged, so a year-end raise does not flatter the year.</t>
        </is>
      </c>
    </row>
    <row r="3">
      <c r="A3" s="4" t="inlineStr">
        <is>
          <t>Component</t>
        </is>
      </c>
      <c r="B3" s="4" t="inlineStr">
        <is>
          <t>2016</t>
        </is>
      </c>
      <c r="C3" s="4" t="inlineStr">
        <is>
          <t>2017</t>
        </is>
      </c>
      <c r="D3" s="4" t="inlineStr">
        <is>
          <t>2018</t>
        </is>
      </c>
      <c r="E3" s="4" t="inlineStr">
        <is>
          <t>2019</t>
        </is>
      </c>
      <c r="F3" s="4" t="inlineStr">
        <is>
          <t>2020</t>
        </is>
      </c>
      <c r="G3" s="4" t="inlineStr">
        <is>
          <t>2021</t>
        </is>
      </c>
      <c r="H3" s="4" t="inlineStr">
        <is>
          <t>2022</t>
        </is>
      </c>
      <c r="I3" s="4" t="inlineStr">
        <is>
          <t>2023</t>
        </is>
      </c>
      <c r="J3" s="4" t="inlineStr">
        <is>
          <t>2024</t>
        </is>
      </c>
      <c r="K3" s="4" t="inlineStr">
        <is>
          <t>2025</t>
        </is>
      </c>
      <c r="L3" s="15" t="inlineStr">
        <is>
          <t>2026</t>
        </is>
      </c>
      <c r="M3" s="15" t="inlineStr">
        <is>
          <t>2027</t>
        </is>
      </c>
      <c r="N3" s="15" t="inlineStr">
        <is>
          <t>2028</t>
        </is>
      </c>
      <c r="O3" s="15" t="inlineStr">
        <is>
          <t>2029</t>
        </is>
      </c>
      <c r="P3" s="15" t="inlineStr">
        <is>
          <t>2030</t>
        </is>
      </c>
      <c r="Q3" s="15" t="inlineStr">
        <is>
          <t>2031</t>
        </is>
      </c>
      <c r="R3" s="15" t="inlineStr">
        <is>
          <t>2032</t>
        </is>
      </c>
    </row>
    <row r="4">
      <c r="A4" s="5" t="inlineStr">
        <is>
          <t>Net income</t>
        </is>
      </c>
      <c r="B4" s="11">
        <f>HISTORICALS!B36</f>
        <v/>
      </c>
      <c r="C4" s="11">
        <f>HISTORICALS!C36</f>
        <v/>
      </c>
      <c r="D4" s="11">
        <f>HISTORICALS!D36</f>
        <v/>
      </c>
      <c r="E4" s="11">
        <f>HISTORICALS!E36</f>
        <v/>
      </c>
      <c r="F4" s="11">
        <f>HISTORICALS!F36</f>
        <v/>
      </c>
      <c r="G4" s="11">
        <f>HISTORICALS!G36</f>
        <v/>
      </c>
      <c r="H4" s="11">
        <f>HISTORICALS!H36</f>
        <v/>
      </c>
      <c r="I4" s="11">
        <f>HISTORICALS!I36</f>
        <v/>
      </c>
      <c r="J4" s="11">
        <f>HISTORICALS!J36</f>
        <v/>
      </c>
      <c r="K4" s="11">
        <f>HISTORICALS!K36</f>
        <v/>
      </c>
      <c r="L4" s="11">
        <f>INCOME!B15</f>
        <v/>
      </c>
      <c r="M4" s="11">
        <f>INCOME!C15</f>
        <v/>
      </c>
      <c r="N4" s="11">
        <f>INCOME!D15</f>
        <v/>
      </c>
      <c r="O4" s="11">
        <f>INCOME!E15</f>
        <v/>
      </c>
      <c r="P4" s="11">
        <f>INCOME!F15</f>
        <v/>
      </c>
      <c r="Q4" s="11">
        <f>INCOME!G15</f>
        <v/>
      </c>
      <c r="R4" s="11">
        <f>INCOME!H15</f>
        <v/>
      </c>
    </row>
    <row r="5">
      <c r="A5" s="5" t="inlineStr">
        <is>
          <t>Revenue</t>
        </is>
      </c>
      <c r="B5" s="11">
        <f>HISTORICALS!B4</f>
        <v/>
      </c>
      <c r="C5" s="11">
        <f>HISTORICALS!C4</f>
        <v/>
      </c>
      <c r="D5" s="11">
        <f>HISTORICALS!D4</f>
        <v/>
      </c>
      <c r="E5" s="11">
        <f>HISTORICALS!E4</f>
        <v/>
      </c>
      <c r="F5" s="11">
        <f>HISTORICALS!F4</f>
        <v/>
      </c>
      <c r="G5" s="11">
        <f>HISTORICALS!G4</f>
        <v/>
      </c>
      <c r="H5" s="11">
        <f>HISTORICALS!H4</f>
        <v/>
      </c>
      <c r="I5" s="11">
        <f>HISTORICALS!I4</f>
        <v/>
      </c>
      <c r="J5" s="11">
        <f>HISTORICALS!J4</f>
        <v/>
      </c>
      <c r="K5" s="11">
        <f>HISTORICALS!K4</f>
        <v/>
      </c>
      <c r="L5" s="11">
        <f>INCOME!B4</f>
        <v/>
      </c>
      <c r="M5" s="11">
        <f>INCOME!C4</f>
        <v/>
      </c>
      <c r="N5" s="11">
        <f>INCOME!D4</f>
        <v/>
      </c>
      <c r="O5" s="11">
        <f>INCOME!E4</f>
        <v/>
      </c>
      <c r="P5" s="11">
        <f>INCOME!F4</f>
        <v/>
      </c>
      <c r="Q5" s="11">
        <f>INCOME!G4</f>
        <v/>
      </c>
      <c r="R5" s="11">
        <f>INCOME!H4</f>
        <v/>
      </c>
    </row>
    <row r="6">
      <c r="A6" s="5" t="inlineStr">
        <is>
          <t>Net profit margin (A)</t>
        </is>
      </c>
      <c r="B6" s="16">
        <f>B4/B5</f>
        <v/>
      </c>
      <c r="C6" s="16">
        <f>C4/C5</f>
        <v/>
      </c>
      <c r="D6" s="16">
        <f>D4/D5</f>
        <v/>
      </c>
      <c r="E6" s="16">
        <f>E4/E5</f>
        <v/>
      </c>
      <c r="F6" s="16">
        <f>F4/F5</f>
        <v/>
      </c>
      <c r="G6" s="16">
        <f>G4/G5</f>
        <v/>
      </c>
      <c r="H6" s="16">
        <f>H4/H5</f>
        <v/>
      </c>
      <c r="I6" s="16">
        <f>I4/I5</f>
        <v/>
      </c>
      <c r="J6" s="16">
        <f>J4/J5</f>
        <v/>
      </c>
      <c r="K6" s="16">
        <f>K4/K5</f>
        <v/>
      </c>
      <c r="L6" s="16">
        <f>L4/L5</f>
        <v/>
      </c>
      <c r="M6" s="16">
        <f>M4/M5</f>
        <v/>
      </c>
      <c r="N6" s="16">
        <f>N4/N5</f>
        <v/>
      </c>
      <c r="O6" s="16">
        <f>O4/O5</f>
        <v/>
      </c>
      <c r="P6" s="16">
        <f>P4/P5</f>
        <v/>
      </c>
      <c r="Q6" s="16">
        <f>Q4/Q5</f>
        <v/>
      </c>
      <c r="R6" s="16">
        <f>R4/R5</f>
        <v/>
      </c>
    </row>
    <row r="8">
      <c r="A8" s="5" t="inlineStr">
        <is>
          <t>Average total assets</t>
        </is>
      </c>
      <c r="B8" s="11">
        <f>NA()</f>
        <v/>
      </c>
      <c r="C8" s="11">
        <f>(HISTORICALS!C19+HISTORICALS!B19)/2</f>
        <v/>
      </c>
      <c r="D8" s="11">
        <f>(HISTORICALS!D19+HISTORICALS!C19)/2</f>
        <v/>
      </c>
      <c r="E8" s="11">
        <f>(HISTORICALS!E19+HISTORICALS!D19)/2</f>
        <v/>
      </c>
      <c r="F8" s="11">
        <f>(HISTORICALS!F19+HISTORICALS!E19)/2</f>
        <v/>
      </c>
      <c r="G8" s="11">
        <f>(HISTORICALS!G19+HISTORICALS!F19)/2</f>
        <v/>
      </c>
      <c r="H8" s="11">
        <f>(HISTORICALS!H19+HISTORICALS!G19)/2</f>
        <v/>
      </c>
      <c r="I8" s="11">
        <f>(HISTORICALS!I19+HISTORICALS!H19)/2</f>
        <v/>
      </c>
      <c r="J8" s="11">
        <f>(HISTORICALS!J19+HISTORICALS!I19)/2</f>
        <v/>
      </c>
      <c r="K8" s="11">
        <f>(HISTORICALS!K19+HISTORICALS!J19)/2</f>
        <v/>
      </c>
      <c r="L8" s="11">
        <f>(BALANCE!B10+HISTORICALS!$K$19)/2</f>
        <v/>
      </c>
      <c r="M8" s="11">
        <f>(BALANCE!C10+BALANCE!B10)/2</f>
        <v/>
      </c>
      <c r="N8" s="11">
        <f>(BALANCE!D10+BALANCE!C10)/2</f>
        <v/>
      </c>
      <c r="O8" s="11">
        <f>(BALANCE!E10+BALANCE!D10)/2</f>
        <v/>
      </c>
      <c r="P8" s="11">
        <f>(BALANCE!F10+BALANCE!E10)/2</f>
        <v/>
      </c>
      <c r="Q8" s="11">
        <f>(BALANCE!G10+BALANCE!F10)/2</f>
        <v/>
      </c>
      <c r="R8" s="11">
        <f>(BALANCE!H10+BALANCE!G10)/2</f>
        <v/>
      </c>
    </row>
    <row r="9">
      <c r="A9" s="5" t="inlineStr">
        <is>
          <t>Asset turnover (B)</t>
        </is>
      </c>
      <c r="B9" s="11">
        <f>NA()</f>
        <v/>
      </c>
      <c r="C9" s="18">
        <f>C5/C8</f>
        <v/>
      </c>
      <c r="D9" s="18">
        <f>D5/D8</f>
        <v/>
      </c>
      <c r="E9" s="18">
        <f>E5/E8</f>
        <v/>
      </c>
      <c r="F9" s="18">
        <f>F5/F8</f>
        <v/>
      </c>
      <c r="G9" s="18">
        <f>G5/G8</f>
        <v/>
      </c>
      <c r="H9" s="18">
        <f>H5/H8</f>
        <v/>
      </c>
      <c r="I9" s="18">
        <f>I5/I8</f>
        <v/>
      </c>
      <c r="J9" s="18">
        <f>J5/J8</f>
        <v/>
      </c>
      <c r="K9" s="18">
        <f>K5/K8</f>
        <v/>
      </c>
      <c r="L9" s="18">
        <f>L5/L8</f>
        <v/>
      </c>
      <c r="M9" s="18">
        <f>M5/M8</f>
        <v/>
      </c>
      <c r="N9" s="18">
        <f>N5/N8</f>
        <v/>
      </c>
      <c r="O9" s="18">
        <f>O5/O8</f>
        <v/>
      </c>
      <c r="P9" s="18">
        <f>P5/P8</f>
        <v/>
      </c>
      <c r="Q9" s="18">
        <f>Q5/Q8</f>
        <v/>
      </c>
      <c r="R9" s="18">
        <f>R5/R8</f>
        <v/>
      </c>
    </row>
    <row r="11">
      <c r="A11" s="5" t="inlineStr">
        <is>
          <t>Average shareholders' equity</t>
        </is>
      </c>
      <c r="B11" s="11">
        <f>NA()</f>
        <v/>
      </c>
      <c r="C11" s="11">
        <f>(HISTORICALS!C26+HISTORICALS!B26)/2</f>
        <v/>
      </c>
      <c r="D11" s="11">
        <f>(HISTORICALS!D26+HISTORICALS!C26)/2</f>
        <v/>
      </c>
      <c r="E11" s="11">
        <f>(HISTORICALS!E26+HISTORICALS!D26)/2</f>
        <v/>
      </c>
      <c r="F11" s="11">
        <f>(HISTORICALS!F26+HISTORICALS!E26)/2</f>
        <v/>
      </c>
      <c r="G11" s="11">
        <f>(HISTORICALS!G26+HISTORICALS!F26)/2</f>
        <v/>
      </c>
      <c r="H11" s="11">
        <f>(HISTORICALS!H26+HISTORICALS!G26)/2</f>
        <v/>
      </c>
      <c r="I11" s="11">
        <f>(HISTORICALS!I26+HISTORICALS!H26)/2</f>
        <v/>
      </c>
      <c r="J11" s="11">
        <f>(HISTORICALS!J26+HISTORICALS!I26)/2</f>
        <v/>
      </c>
      <c r="K11" s="11">
        <f>(HISTORICALS!K26+HISTORICALS!J26)/2</f>
        <v/>
      </c>
      <c r="L11" s="11">
        <f>(BALANCE!B18+HISTORICALS!$K$26)/2</f>
        <v/>
      </c>
      <c r="M11" s="11">
        <f>(BALANCE!C18+BALANCE!B18)/2</f>
        <v/>
      </c>
      <c r="N11" s="11">
        <f>(BALANCE!D18+BALANCE!C18)/2</f>
        <v/>
      </c>
      <c r="O11" s="11">
        <f>(BALANCE!E18+BALANCE!D18)/2</f>
        <v/>
      </c>
      <c r="P11" s="11">
        <f>(BALANCE!F18+BALANCE!E18)/2</f>
        <v/>
      </c>
      <c r="Q11" s="11">
        <f>(BALANCE!G18+BALANCE!F18)/2</f>
        <v/>
      </c>
      <c r="R11" s="11">
        <f>(BALANCE!H18+BALANCE!G18)/2</f>
        <v/>
      </c>
    </row>
    <row r="12">
      <c r="A12" s="5" t="inlineStr">
        <is>
          <t>Equity multiplier (C)</t>
        </is>
      </c>
      <c r="B12" s="11">
        <f>NA()</f>
        <v/>
      </c>
      <c r="C12" s="18">
        <f>C8/C11</f>
        <v/>
      </c>
      <c r="D12" s="18">
        <f>D8/D11</f>
        <v/>
      </c>
      <c r="E12" s="18">
        <f>E8/E11</f>
        <v/>
      </c>
      <c r="F12" s="18">
        <f>F8/F11</f>
        <v/>
      </c>
      <c r="G12" s="18">
        <f>G8/G11</f>
        <v/>
      </c>
      <c r="H12" s="18">
        <f>H8/H11</f>
        <v/>
      </c>
      <c r="I12" s="18">
        <f>I8/I11</f>
        <v/>
      </c>
      <c r="J12" s="18">
        <f>J8/J11</f>
        <v/>
      </c>
      <c r="K12" s="18">
        <f>K8/K11</f>
        <v/>
      </c>
      <c r="L12" s="18">
        <f>L8/L11</f>
        <v/>
      </c>
      <c r="M12" s="18">
        <f>M8/M11</f>
        <v/>
      </c>
      <c r="N12" s="18">
        <f>N8/N11</f>
        <v/>
      </c>
      <c r="O12" s="18">
        <f>O8/O11</f>
        <v/>
      </c>
      <c r="P12" s="18">
        <f>P8/P11</f>
        <v/>
      </c>
      <c r="Q12" s="18">
        <f>Q8/Q11</f>
        <v/>
      </c>
      <c r="R12" s="18">
        <f>R8/R11</f>
        <v/>
      </c>
    </row>
    <row r="14">
      <c r="A14" s="5" t="inlineStr">
        <is>
          <t>Return on equity (A x B x C)</t>
        </is>
      </c>
      <c r="B14" s="11">
        <f>NA()</f>
        <v/>
      </c>
      <c r="C14" s="13">
        <f>C6*C9*C12</f>
        <v/>
      </c>
      <c r="D14" s="13">
        <f>D6*D9*D12</f>
        <v/>
      </c>
      <c r="E14" s="13">
        <f>E6*E9*E12</f>
        <v/>
      </c>
      <c r="F14" s="13">
        <f>F6*F9*F12</f>
        <v/>
      </c>
      <c r="G14" s="13">
        <f>G6*G9*G12</f>
        <v/>
      </c>
      <c r="H14" s="13">
        <f>H6*H9*H12</f>
        <v/>
      </c>
      <c r="I14" s="13">
        <f>I6*I9*I12</f>
        <v/>
      </c>
      <c r="J14" s="13">
        <f>J6*J9*J12</f>
        <v/>
      </c>
      <c r="K14" s="13">
        <f>K6*K9*K12</f>
        <v/>
      </c>
      <c r="L14" s="19">
        <f>L6*L9*L12</f>
        <v/>
      </c>
      <c r="M14" s="19">
        <f>M6*M9*M12</f>
        <v/>
      </c>
      <c r="N14" s="19">
        <f>N6*N9*N12</f>
        <v/>
      </c>
      <c r="O14" s="19">
        <f>O6*O9*O12</f>
        <v/>
      </c>
      <c r="P14" s="19">
        <f>P6*P9*P12</f>
        <v/>
      </c>
      <c r="Q14" s="19">
        <f>Q6*Q9*Q12</f>
        <v/>
      </c>
      <c r="R14" s="19">
        <f>R6*R9*R12</f>
        <v/>
      </c>
    </row>
    <row r="15">
      <c r="A15" s="5" t="inlineStr">
        <is>
          <t>Return on equity (direct)</t>
        </is>
      </c>
      <c r="B15" s="11">
        <f>NA()</f>
        <v/>
      </c>
      <c r="C15" s="16">
        <f>C4/C11</f>
        <v/>
      </c>
      <c r="D15" s="16">
        <f>D4/D11</f>
        <v/>
      </c>
      <c r="E15" s="16">
        <f>E4/E11</f>
        <v/>
      </c>
      <c r="F15" s="16">
        <f>F4/F11</f>
        <v/>
      </c>
      <c r="G15" s="16">
        <f>G4/G11</f>
        <v/>
      </c>
      <c r="H15" s="16">
        <f>H4/H11</f>
        <v/>
      </c>
      <c r="I15" s="16">
        <f>I4/I11</f>
        <v/>
      </c>
      <c r="J15" s="16">
        <f>J4/J11</f>
        <v/>
      </c>
      <c r="K15" s="16">
        <f>K4/K11</f>
        <v/>
      </c>
      <c r="L15" s="16">
        <f>L4/L11</f>
        <v/>
      </c>
      <c r="M15" s="16">
        <f>M4/M11</f>
        <v/>
      </c>
      <c r="N15" s="16">
        <f>N4/N11</f>
        <v/>
      </c>
      <c r="O15" s="16">
        <f>O4/O11</f>
        <v/>
      </c>
      <c r="P15" s="16">
        <f>P4/P11</f>
        <v/>
      </c>
      <c r="Q15" s="16">
        <f>Q4/Q11</f>
        <v/>
      </c>
      <c r="R15" s="16">
        <f>R4/R11</f>
        <v/>
      </c>
    </row>
    <row r="16">
      <c r="A16" s="5" t="inlineStr">
        <is>
          <t>Difference</t>
        </is>
      </c>
      <c r="B16" s="11">
        <f>NA()</f>
        <v/>
      </c>
      <c r="C16" s="20">
        <f>C14-C15</f>
        <v/>
      </c>
      <c r="D16" s="20">
        <f>D14-D15</f>
        <v/>
      </c>
      <c r="E16" s="20">
        <f>E14-E15</f>
        <v/>
      </c>
      <c r="F16" s="20">
        <f>F14-F15</f>
        <v/>
      </c>
      <c r="G16" s="20">
        <f>G14-G15</f>
        <v/>
      </c>
      <c r="H16" s="20">
        <f>H14-H15</f>
        <v/>
      </c>
      <c r="I16" s="20">
        <f>I14-I15</f>
        <v/>
      </c>
      <c r="J16" s="20">
        <f>J14-J15</f>
        <v/>
      </c>
      <c r="K16" s="20">
        <f>K14-K15</f>
        <v/>
      </c>
      <c r="L16" s="20">
        <f>L14-L15</f>
        <v/>
      </c>
      <c r="M16" s="20">
        <f>M14-M15</f>
        <v/>
      </c>
      <c r="N16" s="20">
        <f>N14-N15</f>
        <v/>
      </c>
      <c r="O16" s="20">
        <f>O14-O15</f>
        <v/>
      </c>
      <c r="P16" s="20">
        <f>P14-P15</f>
        <v/>
      </c>
      <c r="Q16" s="20">
        <f>Q14-Q15</f>
        <v/>
      </c>
      <c r="R16" s="20">
        <f>R14-R15</f>
        <v/>
      </c>
      <c r="S16" s="7" t="inlineStr">
        <is>
          <t>Must be zero: the decomposition is an identity, so if it drifts the components are not the ones being multiplied</t>
        </is>
      </c>
    </row>
    <row r="18">
      <c r="A18" s="5" t="inlineStr">
        <is>
          <t>Return on assets (A x B)</t>
        </is>
      </c>
      <c r="B18" s="11">
        <f>NA()</f>
        <v/>
      </c>
      <c r="C18" s="16">
        <f>C6*C9</f>
        <v/>
      </c>
      <c r="D18" s="16">
        <f>D6*D9</f>
        <v/>
      </c>
      <c r="E18" s="16">
        <f>E6*E9</f>
        <v/>
      </c>
      <c r="F18" s="16">
        <f>F6*F9</f>
        <v/>
      </c>
      <c r="G18" s="16">
        <f>G6*G9</f>
        <v/>
      </c>
      <c r="H18" s="16">
        <f>H6*H9</f>
        <v/>
      </c>
      <c r="I18" s="16">
        <f>I6*I9</f>
        <v/>
      </c>
      <c r="J18" s="16">
        <f>J6*J9</f>
        <v/>
      </c>
      <c r="K18" s="16">
        <f>K6*K9</f>
        <v/>
      </c>
      <c r="L18" s="16">
        <f>L6*L9</f>
        <v/>
      </c>
      <c r="M18" s="16">
        <f>M6*M9</f>
        <v/>
      </c>
      <c r="N18" s="16">
        <f>N6*N9</f>
        <v/>
      </c>
      <c r="O18" s="16">
        <f>O6*O9</f>
        <v/>
      </c>
      <c r="P18" s="16">
        <f>P6*P9</f>
        <v/>
      </c>
      <c r="Q18" s="16">
        <f>Q6*Q9</f>
        <v/>
      </c>
      <c r="R18" s="16">
        <f>R6*R9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6" customWidth="1" min="3" max="3"/>
  </cols>
  <sheetData>
    <row r="1">
      <c r="A1" s="1" t="inlineStr">
        <is>
          <t>CHECKS — live assertions, recomputed by Excel</t>
        </is>
      </c>
    </row>
    <row r="2">
      <c r="A2" s="3" t="inlineStr">
        <is>
          <t>Every row must read PASS. These recompute identities independently of the cells they test.</t>
        </is>
      </c>
    </row>
    <row r="3">
      <c r="A3" s="4" t="inlineStr">
        <is>
          <t>Check</t>
        </is>
      </c>
      <c r="B3" s="4" t="inlineStr">
        <is>
          <t>Result</t>
        </is>
      </c>
      <c r="C3" s="4" t="inlineStr">
        <is>
          <t>What it proves</t>
        </is>
      </c>
    </row>
    <row r="4">
      <c r="A4" s="5" t="inlineStr">
        <is>
          <t>Forecast balance sheet balances every year</t>
        </is>
      </c>
      <c r="B4" s="21">
        <f>IF(SUMPRODUCT(MAX(ABS(BALANCE!B21:H21)))&lt;0.01,"PASS","FAIL")</f>
        <v/>
      </c>
      <c r="C4" s="7" t="inlineStr">
        <is>
          <t>Assets = liabilities + equity in every projected year. The single most important check in a three-statement model</t>
        </is>
      </c>
    </row>
    <row r="5">
      <c r="A5" s="5" t="inlineStr">
        <is>
          <t>Reported balance sheet balanced every year</t>
        </is>
      </c>
      <c r="B5" s="21">
        <f>IF(SUMPRODUCT(MAX(ABS(HISTORICALS!B28:K28)))&lt;0.01,"PASS","FAIL")</f>
        <v/>
      </c>
      <c r="C5" s="7" t="inlineStr">
        <is>
          <t>The history was transcribed correctly</t>
        </is>
      </c>
    </row>
    <row r="6">
      <c r="A6" s="5" t="inlineStr">
        <is>
          <t>Cash never falls below the minimum</t>
        </is>
      </c>
      <c r="B6" s="21">
        <f>IF(MIN(BALANCE!B4:H4)&gt;=INPUTS!$B$8-0.01,"PASS","FAIL")</f>
        <v/>
      </c>
      <c r="C6" s="7" t="inlineStr">
        <is>
          <t>The revolver is doing its job as the plug</t>
        </is>
      </c>
    </row>
    <row r="7">
      <c r="A7" s="5" t="inlineStr">
        <is>
          <t>Closing cash ties to the cash flow statement</t>
        </is>
      </c>
      <c r="B7" s="21">
        <f>IF(SUMPRODUCT(MAX(ABS(CASHFLOW!B18:H18-BALANCE!B4:H4)))&lt;0.01,"PASS","FAIL")</f>
        <v/>
      </c>
      <c r="C7" s="7" t="inlineStr">
        <is>
          <t>Balance sheet cash is the cash flow statement's closing line</t>
        </is>
      </c>
    </row>
    <row r="8">
      <c r="A8" s="5" t="inlineStr">
        <is>
          <t>Equity rolls forward correctly</t>
        </is>
      </c>
      <c r="B8" s="21">
        <f>IF(ABS(BALANCE!B18-(HISTORICALS!$K$26+INCOME!B17))&lt;0.01,"PASS","FAIL")</f>
        <v/>
      </c>
      <c r="C8" s="7" t="inlineStr">
        <is>
          <t>Opening equity + net income - dividends = closing equity</t>
        </is>
      </c>
    </row>
    <row r="9">
      <c r="A9" s="5" t="inlineStr">
        <is>
          <t>PP&amp;E rolls forward correctly</t>
        </is>
      </c>
      <c r="B9" s="21">
        <f>IF(ABS(BALANCE!B8-(HISTORICALS!$K$17-CASHFLOW!B8-INCOME!B9))&lt;0.01,"PASS","FAIL")</f>
        <v/>
      </c>
      <c r="C9" s="7" t="inlineStr">
        <is>
          <t>Opening PP&amp;E + capex - depreciation = closing PP&amp;E</t>
        </is>
      </c>
    </row>
    <row r="10">
      <c r="A10" s="5" t="inlineStr">
        <is>
          <t>Cash from operations identity</t>
        </is>
      </c>
      <c r="B10" s="21">
        <f>IF(SUMPRODUCT(MAX(ABS(CASHFLOW!B7:H7-CASHFLOW!B4:H4-CASHFLOW!B5:H5-CASHFLOW!B6:H6)))&lt;0.01,"PASS","FAIL")</f>
        <v/>
      </c>
      <c r="C10" s="7" t="inlineStr">
        <is>
          <t>CFO = net income + D&amp;A + change in working capital</t>
        </is>
      </c>
    </row>
    <row r="11">
      <c r="A11" s="5" t="inlineStr">
        <is>
          <t>Term debt never goes negative</t>
        </is>
      </c>
      <c r="B11" s="21">
        <f>IF(MIN(BALANCE!B15:H15)&gt;=-0.01,"PASS","FAIL")</f>
        <v/>
      </c>
      <c r="C11" s="7" t="inlineStr">
        <is>
          <t>Scheduled repayment never exceeds the balance outstanding</t>
        </is>
      </c>
    </row>
    <row r="12">
      <c r="A12" s="5" t="inlineStr">
        <is>
          <t>Interest charged on opening balances</t>
        </is>
      </c>
      <c r="B12" s="21">
        <f>IF(ABS(INCOME!B11-(HISTORICALS!$K$24*INPUTS!$B$5+INPUTS!$B$10*INPUTS!$B$6))&lt;0.01,"PASS","FAIL")</f>
        <v/>
      </c>
      <c r="C12" s="7" t="inlineStr">
        <is>
          <t>No circular reference: year 1 interest uses the last reported debt</t>
        </is>
      </c>
    </row>
    <row r="13">
      <c r="A13" s="5" t="inlineStr">
        <is>
          <t>Revenue growth matches the input</t>
        </is>
      </c>
      <c r="B13" s="21">
        <f>IF(ABS(INCOME!C4/INCOME!B4-1-INPUTS!C13)&lt;0.0001,"PASS","FAIL")</f>
        <v/>
      </c>
      <c r="C13" s="7" t="inlineStr">
        <is>
          <t>The statements are actually driven by the assumptions</t>
        </is>
      </c>
    </row>
    <row r="14">
      <c r="A14" s="5" t="inlineStr">
        <is>
          <t>Working capital days match the inputs</t>
        </is>
      </c>
      <c r="B14" s="21">
        <f>IF(ABS(BALANCE!B5/INCOME!B4*365-INPUTS!B18)&lt;0.01,"PASS","FAIL")</f>
        <v/>
      </c>
      <c r="C14" s="7" t="inlineStr">
        <is>
          <t>Receivables are genuinely driven by the DSO assumption</t>
        </is>
      </c>
    </row>
    <row r="15">
      <c r="A15" s="5" t="inlineStr">
        <is>
          <t>DuPont decomposition is an identity</t>
        </is>
      </c>
      <c r="B15" s="21">
        <f>IF(SUMPRODUCT(MAX(ABS(DUPONT!L16:R16)))&lt;0.000001,"PASS","FAIL")</f>
        <v/>
      </c>
      <c r="C15" s="7" t="inlineStr">
        <is>
          <t>Margin x asset turnover x equity multiplier equals ROE computed directly, in every forecast year</t>
        </is>
      </c>
    </row>
    <row r="16">
      <c r="A16" s="5" t="inlineStr">
        <is>
          <t>Year-1 EBITDA margin at or above the historical trough</t>
        </is>
      </c>
      <c r="B16" s="21">
        <f>IF(INCOME!B8/INCOME!B4&gt;=HISTORICALS!$B$44,"PASS","REVIEW")</f>
        <v/>
      </c>
      <c r="C16" s="7" t="inlineStr">
        <is>
          <t>The forecast is not starting below anything the company has lived through; REVIEW means justify it, not hide it</t>
        </is>
      </c>
    </row>
    <row r="18">
      <c r="A18" s="1" t="inlineStr">
        <is>
          <t>OVERALL</t>
        </is>
      </c>
      <c r="B18" s="22">
        <f>IF(COUNTIF(B4:B16,"FAIL")=0,"ALL PASS","FAILURES PRESENT")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2026-10-17T15:06:27Z</dcterms:created>
  <dcterms:modified xmlns:dcterms="http://purl.org/dc/terms/" xmlns:xsi="http://www.w3.org/2001/XMLSchema-instance" xsi:type="dcterms:W3CDTF">2026-10-17T15:06:27Z</dcterms:modified>
</cp:coreProperties>
</file>